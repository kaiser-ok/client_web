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B1255692-C239-4336-93CD-22316F697C5E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6" i="1"/>
  <c r="G17" i="1"/>
  <c r="G21" i="1" l="1"/>
</calcChain>
</file>

<file path=xl/sharedStrings.xml><?xml version="1.0" encoding="utf-8"?>
<sst xmlns="http://schemas.openxmlformats.org/spreadsheetml/2006/main" count="53" uniqueCount="53">
  <si>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</si>
  <si>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</si>
  <si>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</si>
  <si>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</si>
  <si>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</si>
  <si>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</si>
  <si>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</si>
  <si>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人：</t>
  </si>
  <si>
    <t>游子興</t>
  </si>
  <si>
    <t>聯 絡 人  ：</t>
  </si>
  <si>
    <t>聯 絡 電 話：</t>
  </si>
  <si>
    <t>(02)3366-5008</t>
  </si>
  <si>
    <t>電      話  ：</t>
  </si>
  <si>
    <t>(02)8226-9200#101</t>
  </si>
  <si>
    <t>公 司 電 話：</t>
  </si>
  <si>
    <t>傳      真  ：</t>
  </si>
  <si>
    <t>E-Mail：</t>
  </si>
  <si>
    <t xml:space="preserve">  E-Mail   ：</t>
  </si>
  <si>
    <t>joanna@gentrice.net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</si>
  <si>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</si>
  <si>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</si>
  <si>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</si>
  <si>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</si>
  <si>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</si>
  <si>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</si>
  <si>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</si>
  <si>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</si>
  <si>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</si>
  <si>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</si>
  <si>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</si>
  <si>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</si>
  <si>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一年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</si>
  <si>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</si>
  <si>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</si>
  <si>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</si>
  <si>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</si>
  <si>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</si>
  <si>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</si>
  <si>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</si>
  <si>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</si>
  <si>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</si>
  <si>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Joanna</t>
    <phoneticPr fontId="1" type="noConversion"/>
  </si>
  <si>
    <t>(02)8226-9211</t>
    <phoneticPr fontId="1" type="noConversion"/>
  </si>
  <si>
    <t>20250520-01</t>
    <phoneticPr fontId="1" type="noConversion"/>
  </si>
  <si>
    <t>國立台灣大學計資中心網路組</t>
    <phoneticPr fontId="1" type="noConversion"/>
  </si>
  <si>
    <t>davisyou@ntu.edu.tw</t>
    <phoneticPr fontId="1" type="noConversion"/>
  </si>
  <si>
    <t>採購 MikroTik 設備</t>
    <phoneticPr fontId="1" type="noConversion"/>
  </si>
  <si>
    <t>CRS326-24G-2S+RM</t>
    <phoneticPr fontId="1" type="noConversion"/>
  </si>
  <si>
    <t>800MHz CPU,512MB RAM
24個 10/100/1000以乙太網路連接埠
2個 SFP+連接埠
RouterOS L5或SwitchOS（雙啟動）
1U機架安裝
標準電源單元（PSU）</t>
    <phoneticPr fontId="1" type="noConversion"/>
  </si>
  <si>
    <t>2. 此次提供的價格為年底清倉優惠，優惠有效期限至 2025 年 05 月 29 日。</t>
    <phoneticPr fontId="1" type="noConversion"/>
  </si>
  <si>
    <t>Joanna 114/05/20</t>
    <phoneticPr fontId="1" type="noConversion"/>
  </si>
  <si>
    <t>CPU: 350-1400 (auto) MHz,RAM: 1GB
7個10/100/1000 Mbps乙太網路連接埠
1個2500 Mbps乙太網路連接埠
1個 SFP+ 插槽</t>
    <phoneticPr fontId="1" type="noConversion"/>
  </si>
  <si>
    <t>RB5009UG+S+IN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</si>
</sst>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u/>
      <sz val="22"/>
      <color indexed="12"/>
      <name val="新細明體"/>
      <family val="1"/>
      <charset val="136"/>
    </font>
    <font>
      <b/>
      <sz val="36"/>
      <name val="新細明體"/>
      <family val="1"/>
      <charset val="136"/>
    </font>
    <font>
      <b/>
      <sz val="25"/>
      <name val="新細明體"/>
      <family val="1"/>
      <charset val="136"/>
    </font>
    <font>
      <b/>
      <sz val="26"/>
      <name val="新細明體"/>
      <family val="1"/>
      <charset val="136"/>
    </font>
    <font>
      <b/>
      <sz val="18"/>
      <name val="新細明體"/>
      <family val="1"/>
      <charset val="136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sz val="16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9" fillId="0" borderId="0"/>
    <xf numFmtId="0" fontId="2" fillId="0" borderId="0">
      <alignment vertical="top"/>
      <protection locked="0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</cellStyleXfs>
  <cellXfs count="72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58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49" fontId="14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38" fontId="17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 wrapText="1"/>
    </xf>
    <xf numFmtId="3" fontId="4" fillId="0" borderId="3" xfId="1" applyNumberFormat="1" applyFont="1" applyBorder="1" applyAlignment="1">
      <alignment horizontal="right" vertical="center" wrapText="1"/>
    </xf>
    <xf numFmtId="3" fontId="4" fillId="0" borderId="3" xfId="1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center" vertical="center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38" fontId="17" fillId="0" borderId="3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0" fillId="0" borderId="0" xfId="0"/>
    <xf numFmtId="0" fontId="0" fillId="0" borderId="0" xfId="0" applyAlignment="1">
      <alignment wrapText="1"/>
    </xf>
    <xf numFmtId="49" fontId="8" fillId="0" borderId="2" xfId="0" applyNumberFormat="1" applyFont="1" applyBorder="1" applyAlignment="1">
      <alignment horizontal="left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0" fontId="3" fillId="0" borderId="0" xfId="0" applyFont="1" applyAlignment="1">
      <alignment horizontal="left"/>
    </xf>
    <xf numFmtId="49" fontId="4" fillId="0" borderId="3" xfId="1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0" xfId="0" applyFont="1" applyAlignment="1">
      <alignment vertical="center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38" fontId="17" fillId="0" borderId="8" xfId="1" applyNumberFormat="1" applyFont="1" applyBorder="1" applyAlignment="1">
      <alignment horizontal="left" vertical="center" wrapText="1"/>
    </xf>
    <xf numFmtId="38" fontId="17" fillId="0" borderId="7" xfId="1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justify"/>
    </xf>
    <xf numFmtId="0" fontId="0" fillId="0" borderId="4" xfId="0" applyBorder="1"/>
    <xf numFmtId="0" fontId="8" fillId="0" borderId="0" xfId="0" applyFont="1" applyAlignment="1">
      <alignment wrapText="1"/>
    </xf>
    <xf numFmtId="0" fontId="3" fillId="0" borderId="0" xfId="0" applyFont="1"/>
    <xf numFmtId="0" fontId="8" fillId="0" borderId="0" xfId="0" applyFont="1" applyAlignment="1">
      <alignment horizontal="center"/>
    </xf>
    <xf numFmtId="49" fontId="4" fillId="0" borderId="3" xfId="1" applyNumberFormat="1" applyFont="1" applyBorder="1" applyAlignment="1">
      <alignment horizontal="left" wrapText="1"/>
    </xf>
    <xf numFmtId="49" fontId="4" fillId="0" borderId="3" xfId="15" applyNumberFormat="1" applyFont="1" applyBorder="1" applyAlignment="1">
      <alignment horizontal="left" vertical="center" wrapText="1"/>
    </xf>
    <xf numFmtId="38" fontId="17" fillId="0" borderId="3" xfId="1" applyNumberFormat="1" applyFont="1" applyBorder="1" applyAlignment="1">
      <alignment horizontal="right" wrapText="1"/>
    </xf>
    <xf numFmtId="0" fontId="10" fillId="0" borderId="0" xfId="2" applyFont="1" applyAlignment="1" applyProtection="1">
      <alignment wrapText="1"/>
    </xf>
    <xf numFmtId="0" fontId="6" fillId="0" borderId="5" xfId="0" applyFont="1" applyBorder="1" applyAlignment="1">
      <alignment horizontal="left"/>
    </xf>
    <xf numFmtId="0" fontId="0" fillId="0" borderId="5" xfId="0" applyBorder="1"/>
    <xf numFmtId="176" fontId="6" fillId="2" borderId="3" xfId="1" applyNumberFormat="1" applyFont="1" applyFill="1" applyBorder="1" applyAlignment="1">
      <alignment horizontal="left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570018</xdr:colOff>
      <xdr:row>22</xdr:row>
      <xdr:rowOff>616273</xdr:rowOff>
    </xdr:from>
    <xdr:to>
      <xdr:col>6</xdr:col>
      <xdr:colOff>607218</xdr:colOff>
      <xdr:row>27</xdr:row>
      <xdr:rowOff>348896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8268" y="9141148"/>
          <a:ext cx="2585138" cy="20186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anna@gentric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9"/>
  <sheetViews>
    <sheetView tabSelected="1" view="pageBreakPreview" topLeftCell="A7" zoomScale="55" zoomScaleNormal="80" zoomScaleSheetLayoutView="55" workbookViewId="0">
      <selection activeCell="O16" sqref="O16:Q16"/>
    </sheetView>
  </sheetViews>
  <sheetFormatPr defaultColWidth="9" defaultRowHeight="16.5" x14ac:dyDescent="0.25"/>
  <cols>
    <col min="1" max="1" width="7.375" customWidth="1"/>
    <col min="2" max="2" width="33.125" customWidth="1"/>
    <col min="3" max="3" width="30.125" customWidth="1"/>
    <col min="4" max="4" width="45.625" style="20" customWidth="1"/>
    <col min="5" max="5" width="20.5" style="20" customWidth="1"/>
    <col min="6" max="6" width="13" customWidth="1"/>
    <col min="7" max="7" width="21.125" customWidth="1"/>
    <col min="8" max="8" width="9" customWidth="1"/>
  </cols>
  <sheetData>
    <row r="3" spans="1:13" ht="21.95" customHeight="1" x14ac:dyDescent="0.3">
      <c r="A3" s="2"/>
      <c r="B3" s="1"/>
      <c r="C3" s="1"/>
      <c r="D3" s="9"/>
      <c r="E3" s="9"/>
      <c r="F3" s="1"/>
      <c r="G3" s="1"/>
    </row>
    <row r="4" spans="1:13" ht="44.1" customHeight="1" x14ac:dyDescent="0.55000000000000004">
      <c r="A4" s="2" t="s">
        <v>0</v>
      </c>
      <c r="B4" s="1"/>
      <c r="C4" s="42" t="s">
        <v>1</v>
      </c>
      <c r="D4" s="43"/>
      <c r="E4" s="18" t="s">
        <v>2</v>
      </c>
      <c r="G4" s="19"/>
    </row>
    <row r="5" spans="1:13" ht="21.95" customHeight="1" x14ac:dyDescent="0.3">
      <c r="A5" s="2"/>
      <c r="B5" s="1"/>
      <c r="C5" s="43"/>
      <c r="D5" s="44"/>
      <c r="E5" s="1" t="s">
        <v>3</v>
      </c>
      <c r="G5" s="1"/>
    </row>
    <row r="6" spans="1:13" ht="23.1" customHeight="1" thickBot="1" x14ac:dyDescent="0.35">
      <c r="A6" s="2"/>
      <c r="B6" s="5"/>
      <c r="C6" s="5"/>
      <c r="D6" s="11"/>
      <c r="E6" s="1" t="s">
        <v>4</v>
      </c>
      <c r="G6" s="1"/>
    </row>
    <row r="7" spans="1:13" s="4" customFormat="1" ht="32.25" customHeight="1" thickTop="1" x14ac:dyDescent="0.4">
      <c r="A7" s="6"/>
      <c r="B7" s="21" t="s">
        <v>5</v>
      </c>
      <c r="C7" s="45" t="s">
        <v>44</v>
      </c>
      <c r="D7" s="46"/>
      <c r="E7" s="22" t="s">
        <v>6</v>
      </c>
      <c r="F7" s="52" t="s">
        <v>43</v>
      </c>
      <c r="G7" s="53"/>
    </row>
    <row r="8" spans="1:13" s="4" customFormat="1" ht="29.25" customHeight="1" x14ac:dyDescent="0.4">
      <c r="A8" s="7"/>
      <c r="B8" s="23" t="s">
        <v>7</v>
      </c>
      <c r="C8" s="54" t="s">
        <v>8</v>
      </c>
      <c r="D8" s="53"/>
      <c r="E8" s="25" t="s">
        <v>9</v>
      </c>
      <c r="F8" s="55" t="s">
        <v>41</v>
      </c>
      <c r="G8" s="53"/>
    </row>
    <row r="9" spans="1:13" s="4" customFormat="1" ht="27.75" customHeight="1" x14ac:dyDescent="0.4">
      <c r="A9" s="8"/>
      <c r="B9" s="23" t="s">
        <v>10</v>
      </c>
      <c r="C9" s="54" t="s">
        <v>11</v>
      </c>
      <c r="D9" s="53"/>
      <c r="E9" s="22" t="s">
        <v>12</v>
      </c>
      <c r="F9" s="55" t="s">
        <v>13</v>
      </c>
      <c r="G9" s="53"/>
    </row>
    <row r="10" spans="1:13" s="4" customFormat="1" ht="27.6" customHeight="1" x14ac:dyDescent="0.4">
      <c r="A10" s="8"/>
      <c r="B10" s="23" t="s">
        <v>14</v>
      </c>
      <c r="C10" s="54"/>
      <c r="D10" s="53"/>
      <c r="E10" s="22" t="s">
        <v>15</v>
      </c>
      <c r="F10" s="55" t="s">
        <v>42</v>
      </c>
      <c r="G10" s="53"/>
    </row>
    <row r="11" spans="1:13" s="4" customFormat="1" ht="27.75" customHeight="1" x14ac:dyDescent="0.4">
      <c r="A11" s="8"/>
      <c r="B11" s="27" t="s">
        <v>16</v>
      </c>
      <c r="C11" s="54" t="s">
        <v>45</v>
      </c>
      <c r="D11" s="53"/>
      <c r="E11" s="22" t="s">
        <v>17</v>
      </c>
      <c r="F11" s="28" t="s">
        <v>18</v>
      </c>
      <c r="G11" s="17"/>
    </row>
    <row r="12" spans="1:13" s="4" customFormat="1" ht="33" customHeight="1" x14ac:dyDescent="0.45">
      <c r="A12" s="8"/>
      <c r="B12" s="27"/>
      <c r="C12" s="66"/>
      <c r="D12" s="53"/>
      <c r="E12" s="12"/>
      <c r="F12" s="8"/>
      <c r="G12" s="8"/>
    </row>
    <row r="13" spans="1:13" s="4" customFormat="1" ht="27" customHeight="1" x14ac:dyDescent="0.4">
      <c r="A13" s="8"/>
      <c r="B13" s="27" t="s">
        <v>19</v>
      </c>
      <c r="C13" s="24" t="s">
        <v>46</v>
      </c>
      <c r="D13" s="12"/>
      <c r="E13" s="12"/>
      <c r="F13" s="8"/>
      <c r="G13" s="26"/>
      <c r="M13" s="12"/>
    </row>
    <row r="14" spans="1:13" ht="33.950000000000003" customHeight="1" x14ac:dyDescent="0.45">
      <c r="A14" s="29" t="s">
        <v>20</v>
      </c>
      <c r="B14" s="30"/>
      <c r="C14" s="30"/>
      <c r="F14" s="26" t="s">
        <v>21</v>
      </c>
    </row>
    <row r="15" spans="1:13" s="4" customFormat="1" ht="39.75" customHeight="1" x14ac:dyDescent="0.4">
      <c r="A15" s="13" t="s">
        <v>22</v>
      </c>
      <c r="B15" s="14" t="s">
        <v>23</v>
      </c>
      <c r="C15" s="69" t="s">
        <v>24</v>
      </c>
      <c r="D15" s="51"/>
      <c r="E15" s="15" t="s">
        <v>25</v>
      </c>
      <c r="F15" s="16" t="s">
        <v>26</v>
      </c>
      <c r="G15" s="16" t="s">
        <v>27</v>
      </c>
    </row>
    <row r="16" spans="1:13" s="4" customFormat="1" ht="158.25" customHeight="1" x14ac:dyDescent="0.4">
      <c r="A16" s="41">
        <v>1</v>
      </c>
      <c r="B16" s="41" t="s">
        <v>47</v>
      </c>
      <c r="C16" s="56" t="s">
        <v>48</v>
      </c>
      <c r="D16" s="57"/>
      <c r="E16" s="33">
        <v>5400</v>
      </c>
      <c r="F16" s="34">
        <v>6</v>
      </c>
      <c r="G16" s="31">
        <f t="shared" ref="G16:G17" si="0">IF(ISBLANK(E16),"",SUM(E16*F16))</f>
        <v>32400</v>
      </c>
    </row>
    <row r="17" spans="1:7" ht="113.25" customHeight="1" x14ac:dyDescent="0.25">
      <c r="A17" s="41">
        <v>2</v>
      </c>
      <c r="B17" s="32" t="s">
        <v>52</v>
      </c>
      <c r="C17" s="64" t="s">
        <v>51</v>
      </c>
      <c r="D17" s="51"/>
      <c r="E17" s="33">
        <v>5700</v>
      </c>
      <c r="F17" s="34">
        <v>4</v>
      </c>
      <c r="G17" s="31">
        <f t="shared" si="0"/>
        <v>22800</v>
      </c>
    </row>
    <row r="18" spans="1:7" ht="27.75" customHeight="1" x14ac:dyDescent="0.3">
      <c r="A18" s="35"/>
      <c r="B18" s="36"/>
      <c r="C18" s="50"/>
      <c r="D18" s="51"/>
      <c r="E18" s="65" t="s">
        <v>28</v>
      </c>
      <c r="F18" s="51"/>
      <c r="G18" s="37">
        <f>SUM(G16:G17)</f>
        <v>55200</v>
      </c>
    </row>
    <row r="19" spans="1:7" ht="27.75" customHeight="1" x14ac:dyDescent="0.3">
      <c r="A19" s="38" t="s">
        <v>29</v>
      </c>
      <c r="B19" s="38" t="s">
        <v>30</v>
      </c>
      <c r="C19" s="63" t="s">
        <v>31</v>
      </c>
      <c r="D19" s="51"/>
      <c r="E19" s="65" t="s">
        <v>32</v>
      </c>
      <c r="F19" s="51"/>
      <c r="G19" s="37">
        <f>SUM(G16:G17)</f>
        <v>55200</v>
      </c>
    </row>
    <row r="20" spans="1:7" ht="29.25" customHeight="1" x14ac:dyDescent="0.3">
      <c r="A20" s="35"/>
      <c r="B20" s="38" t="s">
        <v>33</v>
      </c>
      <c r="C20" s="63" t="s">
        <v>34</v>
      </c>
      <c r="D20" s="51"/>
      <c r="E20" s="70" t="s">
        <v>35</v>
      </c>
      <c r="F20" s="51"/>
      <c r="G20" s="37">
        <f>SUM(G18*1.05)-G18</f>
        <v>2760</v>
      </c>
    </row>
    <row r="21" spans="1:7" ht="26.25" customHeight="1" x14ac:dyDescent="0.3">
      <c r="A21" s="35"/>
      <c r="B21" s="38"/>
      <c r="C21" s="63"/>
      <c r="D21" s="51"/>
      <c r="E21" s="70" t="s">
        <v>36</v>
      </c>
      <c r="F21" s="51"/>
      <c r="G21" s="37">
        <f>SUM(G19:G20)</f>
        <v>57960</v>
      </c>
    </row>
    <row r="22" spans="1:7" ht="26.25" customHeight="1" x14ac:dyDescent="0.3">
      <c r="A22" s="3"/>
      <c r="B22" s="39" t="s">
        <v>37</v>
      </c>
      <c r="C22" s="47" t="s">
        <v>38</v>
      </c>
      <c r="D22" s="48"/>
      <c r="E22" s="48"/>
      <c r="F22" s="48"/>
      <c r="G22" s="48"/>
    </row>
    <row r="23" spans="1:7" ht="52.5" customHeight="1" x14ac:dyDescent="0.4">
      <c r="A23" s="3"/>
      <c r="B23" s="4"/>
      <c r="C23" s="71" t="s">
        <v>49</v>
      </c>
      <c r="D23" s="71"/>
      <c r="E23" s="71"/>
      <c r="F23" s="71"/>
      <c r="G23" s="71"/>
    </row>
    <row r="24" spans="1:7" ht="31.5" customHeight="1" x14ac:dyDescent="0.4">
      <c r="A24" s="3"/>
      <c r="B24" s="4"/>
      <c r="C24" s="49"/>
      <c r="D24" s="43"/>
      <c r="E24" s="43"/>
      <c r="F24" s="43"/>
      <c r="G24" s="43"/>
    </row>
    <row r="25" spans="1:7" ht="31.5" customHeight="1" x14ac:dyDescent="0.4">
      <c r="A25" s="3"/>
      <c r="B25" s="4"/>
      <c r="C25" s="49"/>
      <c r="D25" s="43"/>
      <c r="E25" s="40"/>
      <c r="F25" s="40"/>
      <c r="G25" s="40"/>
    </row>
    <row r="26" spans="1:7" ht="31.5" customHeight="1" x14ac:dyDescent="0.4">
      <c r="A26" s="3"/>
      <c r="B26" s="4"/>
      <c r="C26" s="49"/>
      <c r="D26" s="43"/>
      <c r="E26"/>
    </row>
    <row r="27" spans="1:7" ht="31.5" customHeight="1" x14ac:dyDescent="0.4">
      <c r="A27" s="3"/>
      <c r="B27" s="4"/>
      <c r="C27" s="49"/>
      <c r="D27" s="43"/>
      <c r="E27" s="43"/>
      <c r="F27" s="43"/>
      <c r="G27" s="43"/>
    </row>
    <row r="28" spans="1:7" ht="31.5" customHeight="1" x14ac:dyDescent="0.4">
      <c r="A28" s="3"/>
      <c r="B28" s="4"/>
      <c r="C28" s="49"/>
      <c r="D28" s="43"/>
      <c r="E28" s="43"/>
      <c r="F28" s="43"/>
      <c r="G28" s="43"/>
    </row>
    <row r="29" spans="1:7" ht="31.5" customHeight="1" x14ac:dyDescent="0.4">
      <c r="A29" s="3"/>
      <c r="B29" s="4"/>
      <c r="C29" s="2"/>
      <c r="D29"/>
      <c r="E29" s="62" t="s">
        <v>50</v>
      </c>
      <c r="F29" s="62"/>
      <c r="G29" s="62"/>
    </row>
    <row r="30" spans="1:7" ht="31.5" customHeight="1" x14ac:dyDescent="0.4">
      <c r="A30" s="3"/>
      <c r="B30" s="4"/>
      <c r="C30" s="61"/>
      <c r="D30" s="43"/>
      <c r="E30" s="43"/>
      <c r="F30" s="43"/>
      <c r="G30" s="43"/>
    </row>
    <row r="31" spans="1:7" ht="31.5" customHeight="1" x14ac:dyDescent="0.4">
      <c r="A31" s="3"/>
      <c r="B31" s="4"/>
      <c r="C31" s="61"/>
      <c r="D31" s="43"/>
      <c r="E31" s="43"/>
      <c r="F31" s="43"/>
      <c r="G31" s="43"/>
    </row>
    <row r="32" spans="1:7" s="2" customFormat="1" ht="27.75" customHeight="1" thickBot="1" x14ac:dyDescent="0.35">
      <c r="A32" s="10"/>
      <c r="B32" s="67" t="s">
        <v>39</v>
      </c>
      <c r="C32" s="68"/>
      <c r="D32" s="68"/>
    </row>
    <row r="33" spans="2:7" s="2" customFormat="1" ht="33" customHeight="1" x14ac:dyDescent="0.3">
      <c r="B33" s="58" t="s">
        <v>40</v>
      </c>
      <c r="C33" s="59"/>
      <c r="D33" s="59"/>
    </row>
    <row r="34" spans="2:7" s="2" customFormat="1" ht="33" customHeight="1" x14ac:dyDescent="0.4">
      <c r="B34" s="12"/>
      <c r="C34" s="12"/>
      <c r="D34" s="12"/>
    </row>
    <row r="35" spans="2:7" s="2" customFormat="1" ht="47.25" customHeight="1" x14ac:dyDescent="0.4">
      <c r="B35" s="60"/>
      <c r="C35" s="61"/>
      <c r="D35" s="61"/>
      <c r="E35" s="61"/>
      <c r="F35" s="61"/>
      <c r="G35" s="61"/>
    </row>
    <row r="36" spans="2:7" s="2" customFormat="1" ht="45" customHeight="1" x14ac:dyDescent="0.3"/>
    <row r="37" spans="2:7" s="2" customFormat="1" ht="20.100000000000001" customHeight="1" x14ac:dyDescent="0.3"/>
    <row r="38" spans="2:7" x14ac:dyDescent="0.25">
      <c r="D38"/>
      <c r="E38"/>
    </row>
    <row r="39" spans="2:7" x14ac:dyDescent="0.25">
      <c r="D39"/>
      <c r="E39"/>
    </row>
    <row r="40" spans="2:7" x14ac:dyDescent="0.25">
      <c r="D40"/>
      <c r="E40"/>
    </row>
    <row r="41" spans="2:7" x14ac:dyDescent="0.25">
      <c r="D41"/>
      <c r="E41"/>
    </row>
    <row r="42" spans="2:7" x14ac:dyDescent="0.25">
      <c r="D42"/>
      <c r="E42"/>
    </row>
    <row r="43" spans="2:7" x14ac:dyDescent="0.25">
      <c r="D43"/>
      <c r="E43"/>
    </row>
    <row r="44" spans="2:7" x14ac:dyDescent="0.25">
      <c r="D44"/>
      <c r="E44"/>
    </row>
    <row r="45" spans="2:7" x14ac:dyDescent="0.25">
      <c r="D45"/>
      <c r="E45"/>
    </row>
    <row r="46" spans="2:7" x14ac:dyDescent="0.25">
      <c r="D46"/>
      <c r="E46"/>
    </row>
    <row r="47" spans="2:7" x14ac:dyDescent="0.25">
      <c r="D47"/>
      <c r="E47"/>
    </row>
    <row r="48" spans="2:7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  <row r="63" spans="4:5" x14ac:dyDescent="0.25">
      <c r="D63"/>
      <c r="E63"/>
    </row>
    <row r="64" spans="4:5" x14ac:dyDescent="0.25">
      <c r="D64"/>
      <c r="E64"/>
    </row>
    <row r="65" spans="4:5" x14ac:dyDescent="0.25">
      <c r="D65"/>
      <c r="E65"/>
    </row>
    <row r="66" spans="4:5" x14ac:dyDescent="0.25">
      <c r="D66"/>
      <c r="E66"/>
    </row>
    <row r="67" spans="4:5" x14ac:dyDescent="0.25">
      <c r="D67"/>
      <c r="E67"/>
    </row>
    <row r="68" spans="4:5" x14ac:dyDescent="0.25">
      <c r="D68"/>
      <c r="E68"/>
    </row>
    <row r="69" spans="4:5" x14ac:dyDescent="0.25">
      <c r="D69"/>
      <c r="E69"/>
    </row>
    <row r="70" spans="4:5" x14ac:dyDescent="0.25">
      <c r="D70"/>
      <c r="E70"/>
    </row>
    <row r="71" spans="4:5" x14ac:dyDescent="0.25">
      <c r="D71"/>
      <c r="E71"/>
    </row>
    <row r="72" spans="4:5" x14ac:dyDescent="0.25">
      <c r="D72"/>
      <c r="E72"/>
    </row>
    <row r="73" spans="4:5" x14ac:dyDescent="0.25">
      <c r="D73"/>
      <c r="E73"/>
    </row>
    <row r="74" spans="4:5" x14ac:dyDescent="0.25">
      <c r="D74"/>
      <c r="E74"/>
    </row>
    <row r="75" spans="4:5" x14ac:dyDescent="0.25">
      <c r="D75"/>
      <c r="E75"/>
    </row>
    <row r="76" spans="4:5" x14ac:dyDescent="0.25">
      <c r="D76"/>
      <c r="E76"/>
    </row>
    <row r="77" spans="4:5" x14ac:dyDescent="0.25">
      <c r="D77"/>
      <c r="E77"/>
    </row>
    <row r="78" spans="4:5" x14ac:dyDescent="0.25">
      <c r="D78"/>
      <c r="E78"/>
    </row>
    <row r="79" spans="4:5" x14ac:dyDescent="0.25">
      <c r="D79"/>
      <c r="E79"/>
    </row>
    <row r="80" spans="4:5" x14ac:dyDescent="0.25">
      <c r="D80"/>
      <c r="E80"/>
    </row>
    <row r="81" spans="4:5" x14ac:dyDescent="0.25">
      <c r="D81"/>
      <c r="E81"/>
    </row>
    <row r="82" spans="4:5" x14ac:dyDescent="0.25">
      <c r="D82"/>
      <c r="E82"/>
    </row>
    <row r="83" spans="4:5" x14ac:dyDescent="0.25">
      <c r="D83"/>
      <c r="E83"/>
    </row>
    <row r="84" spans="4:5" x14ac:dyDescent="0.25">
      <c r="D84"/>
      <c r="E84"/>
    </row>
    <row r="85" spans="4:5" x14ac:dyDescent="0.25">
      <c r="D85"/>
      <c r="E85"/>
    </row>
    <row r="86" spans="4:5" x14ac:dyDescent="0.25">
      <c r="D86"/>
      <c r="E86"/>
    </row>
    <row r="87" spans="4:5" x14ac:dyDescent="0.25">
      <c r="D87"/>
      <c r="E87"/>
    </row>
    <row r="88" spans="4:5" x14ac:dyDescent="0.25">
      <c r="D88"/>
      <c r="E88"/>
    </row>
    <row r="89" spans="4:5" x14ac:dyDescent="0.25">
      <c r="D89"/>
      <c r="E89"/>
    </row>
    <row r="90" spans="4:5" x14ac:dyDescent="0.25">
      <c r="D90"/>
      <c r="E90"/>
    </row>
    <row r="91" spans="4:5" x14ac:dyDescent="0.25">
      <c r="D91"/>
      <c r="E91"/>
    </row>
    <row r="92" spans="4:5" x14ac:dyDescent="0.25">
      <c r="D92"/>
      <c r="E92"/>
    </row>
    <row r="93" spans="4:5" x14ac:dyDescent="0.25">
      <c r="D93"/>
      <c r="E93"/>
    </row>
    <row r="94" spans="4:5" x14ac:dyDescent="0.25">
      <c r="D94"/>
      <c r="E94"/>
    </row>
    <row r="95" spans="4:5" x14ac:dyDescent="0.25">
      <c r="D95"/>
      <c r="E95"/>
    </row>
    <row r="96" spans="4:5" x14ac:dyDescent="0.25">
      <c r="D96"/>
      <c r="E96"/>
    </row>
    <row r="97" spans="4:5" x14ac:dyDescent="0.25">
      <c r="D97"/>
      <c r="E97"/>
    </row>
    <row r="98" spans="4:5" x14ac:dyDescent="0.25">
      <c r="D98"/>
      <c r="E98"/>
    </row>
    <row r="99" spans="4:5" x14ac:dyDescent="0.25">
      <c r="D99"/>
      <c r="E99"/>
    </row>
    <row r="100" spans="4:5" x14ac:dyDescent="0.25">
      <c r="D100"/>
      <c r="E100"/>
    </row>
    <row r="101" spans="4:5" x14ac:dyDescent="0.25">
      <c r="D101"/>
      <c r="E101"/>
    </row>
    <row r="102" spans="4:5" x14ac:dyDescent="0.25">
      <c r="D102"/>
      <c r="E102"/>
    </row>
    <row r="103" spans="4:5" x14ac:dyDescent="0.25">
      <c r="D103"/>
      <c r="E103"/>
    </row>
    <row r="104" spans="4:5" x14ac:dyDescent="0.25">
      <c r="D104"/>
      <c r="E104"/>
    </row>
    <row r="105" spans="4:5" x14ac:dyDescent="0.25">
      <c r="D105"/>
      <c r="E105"/>
    </row>
    <row r="106" spans="4:5" x14ac:dyDescent="0.25">
      <c r="D106"/>
      <c r="E106"/>
    </row>
    <row r="107" spans="4:5" x14ac:dyDescent="0.25">
      <c r="D107"/>
      <c r="E107"/>
    </row>
    <row r="108" spans="4:5" x14ac:dyDescent="0.25">
      <c r="D108"/>
      <c r="E108"/>
    </row>
    <row r="109" spans="4:5" x14ac:dyDescent="0.25">
      <c r="D109"/>
      <c r="E109"/>
    </row>
    <row r="110" spans="4:5" x14ac:dyDescent="0.25">
      <c r="D110"/>
      <c r="E110"/>
    </row>
    <row r="111" spans="4:5" x14ac:dyDescent="0.25">
      <c r="D111"/>
      <c r="E111"/>
    </row>
    <row r="112" spans="4:5" x14ac:dyDescent="0.25">
      <c r="D112"/>
      <c r="E112"/>
    </row>
    <row r="113" spans="4:5" x14ac:dyDescent="0.25">
      <c r="D113"/>
      <c r="E113"/>
    </row>
    <row r="114" spans="4:5" x14ac:dyDescent="0.25">
      <c r="D114"/>
      <c r="E114"/>
    </row>
    <row r="115" spans="4:5" x14ac:dyDescent="0.25">
      <c r="D115"/>
      <c r="E115"/>
    </row>
    <row r="116" spans="4:5" x14ac:dyDescent="0.25">
      <c r="D116"/>
      <c r="E116"/>
    </row>
    <row r="117" spans="4:5" x14ac:dyDescent="0.25">
      <c r="D117"/>
      <c r="E117"/>
    </row>
    <row r="118" spans="4:5" x14ac:dyDescent="0.25">
      <c r="D118"/>
      <c r="E118"/>
    </row>
    <row r="119" spans="4:5" x14ac:dyDescent="0.25">
      <c r="D119"/>
      <c r="E119"/>
    </row>
    <row r="120" spans="4:5" x14ac:dyDescent="0.25">
      <c r="D120"/>
      <c r="E120"/>
    </row>
    <row r="121" spans="4:5" x14ac:dyDescent="0.25">
      <c r="D121"/>
      <c r="E121"/>
    </row>
    <row r="122" spans="4:5" x14ac:dyDescent="0.25">
      <c r="D122"/>
      <c r="E122"/>
    </row>
    <row r="123" spans="4:5" x14ac:dyDescent="0.25">
      <c r="D123"/>
      <c r="E123"/>
    </row>
    <row r="124" spans="4:5" x14ac:dyDescent="0.25">
      <c r="D124"/>
      <c r="E124"/>
    </row>
    <row r="125" spans="4:5" x14ac:dyDescent="0.25">
      <c r="D125"/>
      <c r="E125"/>
    </row>
    <row r="126" spans="4:5" x14ac:dyDescent="0.25">
      <c r="D126"/>
      <c r="E126"/>
    </row>
    <row r="127" spans="4:5" x14ac:dyDescent="0.25">
      <c r="D127"/>
      <c r="E127"/>
    </row>
    <row r="128" spans="4:5" x14ac:dyDescent="0.25">
      <c r="D128"/>
      <c r="E128"/>
    </row>
    <row r="129" spans="4:5" x14ac:dyDescent="0.25">
      <c r="D129"/>
      <c r="E129"/>
    </row>
    <row r="130" spans="4:5" x14ac:dyDescent="0.25">
      <c r="D130"/>
      <c r="E130"/>
    </row>
    <row r="131" spans="4:5" x14ac:dyDescent="0.25">
      <c r="D131"/>
      <c r="E131"/>
    </row>
    <row r="132" spans="4:5" x14ac:dyDescent="0.25">
      <c r="D132"/>
      <c r="E132"/>
    </row>
    <row r="133" spans="4:5" x14ac:dyDescent="0.25">
      <c r="D133"/>
      <c r="E133"/>
    </row>
    <row r="134" spans="4:5" x14ac:dyDescent="0.25">
      <c r="D134"/>
      <c r="E134"/>
    </row>
    <row r="135" spans="4:5" x14ac:dyDescent="0.25">
      <c r="D135"/>
      <c r="E135"/>
    </row>
    <row r="136" spans="4:5" x14ac:dyDescent="0.25">
      <c r="D136"/>
      <c r="E136"/>
    </row>
    <row r="137" spans="4:5" x14ac:dyDescent="0.25">
      <c r="D137"/>
      <c r="E137"/>
    </row>
    <row r="138" spans="4:5" x14ac:dyDescent="0.25">
      <c r="D138"/>
      <c r="E138"/>
    </row>
    <row r="139" spans="4:5" x14ac:dyDescent="0.25">
      <c r="D139"/>
      <c r="E139"/>
    </row>
    <row r="140" spans="4:5" x14ac:dyDescent="0.25">
      <c r="D140"/>
      <c r="E140"/>
    </row>
    <row r="141" spans="4:5" x14ac:dyDescent="0.25">
      <c r="D141"/>
      <c r="E141"/>
    </row>
    <row r="142" spans="4:5" x14ac:dyDescent="0.25">
      <c r="D142"/>
      <c r="E142"/>
    </row>
    <row r="143" spans="4:5" x14ac:dyDescent="0.25">
      <c r="D143"/>
      <c r="E143"/>
    </row>
    <row r="144" spans="4:5" x14ac:dyDescent="0.25">
      <c r="D144"/>
      <c r="E144"/>
    </row>
    <row r="145" spans="4:5" x14ac:dyDescent="0.25">
      <c r="D145"/>
      <c r="E145"/>
    </row>
    <row r="146" spans="4:5" x14ac:dyDescent="0.25">
      <c r="D146"/>
      <c r="E146"/>
    </row>
    <row r="147" spans="4:5" x14ac:dyDescent="0.25">
      <c r="D147"/>
      <c r="E147"/>
    </row>
    <row r="148" spans="4:5" x14ac:dyDescent="0.25">
      <c r="D148"/>
      <c r="E148"/>
    </row>
    <row r="149" spans="4:5" x14ac:dyDescent="0.25">
      <c r="D149"/>
      <c r="E149"/>
    </row>
    <row r="150" spans="4:5" x14ac:dyDescent="0.25">
      <c r="D150"/>
      <c r="E150"/>
    </row>
    <row r="151" spans="4:5" x14ac:dyDescent="0.25">
      <c r="D151"/>
      <c r="E151"/>
    </row>
    <row r="152" spans="4:5" x14ac:dyDescent="0.25">
      <c r="D152"/>
      <c r="E152"/>
    </row>
    <row r="153" spans="4:5" x14ac:dyDescent="0.25">
      <c r="D153"/>
      <c r="E153"/>
    </row>
    <row r="154" spans="4:5" x14ac:dyDescent="0.25">
      <c r="D154"/>
      <c r="E154"/>
    </row>
    <row r="155" spans="4:5" x14ac:dyDescent="0.25">
      <c r="D155"/>
      <c r="E155"/>
    </row>
    <row r="156" spans="4:5" x14ac:dyDescent="0.25">
      <c r="D156"/>
      <c r="E156"/>
    </row>
    <row r="157" spans="4:5" x14ac:dyDescent="0.25">
      <c r="D157"/>
      <c r="E157"/>
    </row>
    <row r="158" spans="4:5" x14ac:dyDescent="0.25">
      <c r="D158"/>
      <c r="E158"/>
    </row>
    <row r="159" spans="4:5" x14ac:dyDescent="0.25">
      <c r="D159"/>
      <c r="E159"/>
    </row>
    <row r="160" spans="4:5" x14ac:dyDescent="0.25">
      <c r="D160"/>
      <c r="E160"/>
    </row>
    <row r="161" spans="4:5" x14ac:dyDescent="0.25">
      <c r="D161"/>
      <c r="E161"/>
    </row>
    <row r="162" spans="4:5" x14ac:dyDescent="0.25">
      <c r="D162"/>
      <c r="E162"/>
    </row>
    <row r="163" spans="4:5" x14ac:dyDescent="0.25">
      <c r="D163"/>
      <c r="E163"/>
    </row>
    <row r="164" spans="4:5" x14ac:dyDescent="0.25">
      <c r="D164"/>
      <c r="E164"/>
    </row>
    <row r="165" spans="4:5" x14ac:dyDescent="0.25">
      <c r="D165"/>
      <c r="E165"/>
    </row>
    <row r="166" spans="4:5" x14ac:dyDescent="0.25">
      <c r="D166"/>
      <c r="E166"/>
    </row>
    <row r="167" spans="4:5" x14ac:dyDescent="0.25">
      <c r="D167"/>
      <c r="E167"/>
    </row>
    <row r="168" spans="4:5" x14ac:dyDescent="0.25">
      <c r="D168"/>
      <c r="E168"/>
    </row>
    <row r="169" spans="4:5" x14ac:dyDescent="0.25">
      <c r="D169"/>
      <c r="E169"/>
    </row>
    <row r="170" spans="4:5" x14ac:dyDescent="0.25">
      <c r="D170"/>
      <c r="E170"/>
    </row>
    <row r="171" spans="4:5" x14ac:dyDescent="0.25">
      <c r="D171"/>
      <c r="E171"/>
    </row>
    <row r="172" spans="4:5" x14ac:dyDescent="0.25">
      <c r="D172"/>
      <c r="E172"/>
    </row>
    <row r="173" spans="4:5" x14ac:dyDescent="0.25">
      <c r="D173"/>
      <c r="E173"/>
    </row>
    <row r="174" spans="4:5" x14ac:dyDescent="0.25">
      <c r="D174"/>
      <c r="E174"/>
    </row>
    <row r="175" spans="4:5" x14ac:dyDescent="0.25">
      <c r="D175"/>
      <c r="E175"/>
    </row>
    <row r="176" spans="4:5" x14ac:dyDescent="0.25">
      <c r="D176"/>
      <c r="E176"/>
    </row>
    <row r="177" spans="4:5" x14ac:dyDescent="0.25">
      <c r="D177"/>
      <c r="E177"/>
    </row>
    <row r="178" spans="4:5" x14ac:dyDescent="0.25">
      <c r="D178"/>
      <c r="E178"/>
    </row>
    <row r="179" spans="4:5" x14ac:dyDescent="0.25">
      <c r="D179"/>
      <c r="E179"/>
    </row>
    <row r="180" spans="4:5" x14ac:dyDescent="0.25">
      <c r="D180"/>
      <c r="E180"/>
    </row>
    <row r="181" spans="4:5" x14ac:dyDescent="0.25">
      <c r="D181"/>
      <c r="E181"/>
    </row>
    <row r="182" spans="4:5" x14ac:dyDescent="0.25">
      <c r="D182"/>
      <c r="E182"/>
    </row>
    <row r="183" spans="4:5" x14ac:dyDescent="0.25">
      <c r="D183"/>
      <c r="E183"/>
    </row>
    <row r="184" spans="4:5" x14ac:dyDescent="0.25">
      <c r="D184"/>
      <c r="E184"/>
    </row>
    <row r="185" spans="4:5" x14ac:dyDescent="0.25">
      <c r="D185"/>
      <c r="E185"/>
    </row>
    <row r="186" spans="4:5" x14ac:dyDescent="0.25">
      <c r="D186"/>
      <c r="E186"/>
    </row>
    <row r="187" spans="4:5" x14ac:dyDescent="0.25">
      <c r="D187"/>
      <c r="E187"/>
    </row>
    <row r="188" spans="4:5" x14ac:dyDescent="0.25">
      <c r="D188"/>
      <c r="E188"/>
    </row>
    <row r="189" spans="4:5" x14ac:dyDescent="0.25">
      <c r="D189"/>
      <c r="E189"/>
    </row>
    <row r="190" spans="4:5" x14ac:dyDescent="0.25">
      <c r="D190"/>
      <c r="E190"/>
    </row>
    <row r="191" spans="4:5" x14ac:dyDescent="0.25">
      <c r="D191"/>
      <c r="E191"/>
    </row>
    <row r="192" spans="4:5" x14ac:dyDescent="0.25">
      <c r="D192"/>
      <c r="E192"/>
    </row>
    <row r="193" spans="4:5" x14ac:dyDescent="0.25">
      <c r="D193"/>
      <c r="E193"/>
    </row>
    <row r="194" spans="4:5" x14ac:dyDescent="0.25">
      <c r="D194"/>
      <c r="E194"/>
    </row>
    <row r="195" spans="4:5" x14ac:dyDescent="0.25">
      <c r="D195"/>
      <c r="E195"/>
    </row>
    <row r="196" spans="4:5" x14ac:dyDescent="0.25">
      <c r="D196"/>
      <c r="E196"/>
    </row>
    <row r="197" spans="4:5" x14ac:dyDescent="0.25">
      <c r="D197"/>
      <c r="E197"/>
    </row>
    <row r="198" spans="4:5" x14ac:dyDescent="0.25">
      <c r="D198"/>
      <c r="E198"/>
    </row>
    <row r="199" spans="4:5" x14ac:dyDescent="0.25">
      <c r="D199"/>
      <c r="E199"/>
    </row>
    <row r="200" spans="4:5" x14ac:dyDescent="0.25">
      <c r="D200"/>
      <c r="E200"/>
    </row>
    <row r="201" spans="4:5" x14ac:dyDescent="0.25">
      <c r="D201"/>
      <c r="E201"/>
    </row>
    <row r="202" spans="4:5" x14ac:dyDescent="0.25">
      <c r="D202"/>
      <c r="E202"/>
    </row>
    <row r="203" spans="4:5" x14ac:dyDescent="0.25">
      <c r="D203"/>
      <c r="E203"/>
    </row>
    <row r="204" spans="4:5" x14ac:dyDescent="0.25">
      <c r="D204"/>
      <c r="E204"/>
    </row>
    <row r="205" spans="4:5" x14ac:dyDescent="0.25">
      <c r="D205"/>
      <c r="E205"/>
    </row>
    <row r="206" spans="4:5" x14ac:dyDescent="0.25">
      <c r="D206"/>
      <c r="E206"/>
    </row>
    <row r="207" spans="4:5" x14ac:dyDescent="0.25">
      <c r="D207"/>
      <c r="E207"/>
    </row>
    <row r="208" spans="4:5" x14ac:dyDescent="0.25">
      <c r="D208"/>
      <c r="E208"/>
    </row>
    <row r="209" spans="4:5" x14ac:dyDescent="0.25">
      <c r="D209"/>
      <c r="E209"/>
    </row>
    <row r="210" spans="4:5" x14ac:dyDescent="0.25">
      <c r="D210"/>
      <c r="E210"/>
    </row>
    <row r="211" spans="4:5" x14ac:dyDescent="0.25">
      <c r="D211"/>
      <c r="E211"/>
    </row>
    <row r="212" spans="4:5" x14ac:dyDescent="0.25">
      <c r="D212"/>
      <c r="E212"/>
    </row>
    <row r="213" spans="4:5" x14ac:dyDescent="0.25">
      <c r="D213"/>
      <c r="E213"/>
    </row>
    <row r="214" spans="4:5" x14ac:dyDescent="0.25">
      <c r="D214"/>
      <c r="E214"/>
    </row>
    <row r="215" spans="4:5" x14ac:dyDescent="0.25">
      <c r="D215"/>
      <c r="E215"/>
    </row>
    <row r="216" spans="4:5" x14ac:dyDescent="0.25">
      <c r="D216"/>
      <c r="E216"/>
    </row>
    <row r="217" spans="4:5" x14ac:dyDescent="0.25">
      <c r="D217"/>
      <c r="E217"/>
    </row>
    <row r="218" spans="4:5" x14ac:dyDescent="0.25">
      <c r="D218"/>
      <c r="E218"/>
    </row>
    <row r="219" spans="4:5" x14ac:dyDescent="0.25">
      <c r="D219"/>
      <c r="E219"/>
    </row>
    <row r="220" spans="4:5" x14ac:dyDescent="0.25">
      <c r="D220"/>
      <c r="E220"/>
    </row>
    <row r="221" spans="4:5" x14ac:dyDescent="0.25">
      <c r="D221"/>
      <c r="E221"/>
    </row>
    <row r="222" spans="4:5" x14ac:dyDescent="0.25">
      <c r="D222"/>
      <c r="E222"/>
    </row>
    <row r="223" spans="4:5" x14ac:dyDescent="0.25">
      <c r="D223"/>
      <c r="E223"/>
    </row>
    <row r="224" spans="4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  <row r="280" spans="4:5" x14ac:dyDescent="0.25">
      <c r="D280"/>
      <c r="E280"/>
    </row>
    <row r="281" spans="4:5" x14ac:dyDescent="0.25">
      <c r="D281"/>
      <c r="E281"/>
    </row>
    <row r="282" spans="4:5" x14ac:dyDescent="0.25">
      <c r="D282"/>
      <c r="E282"/>
    </row>
    <row r="283" spans="4:5" x14ac:dyDescent="0.25">
      <c r="D283"/>
      <c r="E283"/>
    </row>
    <row r="284" spans="4:5" x14ac:dyDescent="0.25">
      <c r="D284"/>
      <c r="E284"/>
    </row>
    <row r="285" spans="4:5" x14ac:dyDescent="0.25">
      <c r="D285"/>
      <c r="E285"/>
    </row>
    <row r="286" spans="4:5" x14ac:dyDescent="0.25">
      <c r="D286"/>
      <c r="E286"/>
    </row>
    <row r="287" spans="4:5" x14ac:dyDescent="0.25">
      <c r="D287"/>
      <c r="E287"/>
    </row>
    <row r="288" spans="4:5" x14ac:dyDescent="0.25">
      <c r="D288"/>
      <c r="E288"/>
    </row>
    <row r="289" spans="4:5" x14ac:dyDescent="0.25">
      <c r="D289"/>
      <c r="E289"/>
    </row>
    <row r="290" spans="4:5" x14ac:dyDescent="0.25">
      <c r="D290"/>
      <c r="E290"/>
    </row>
    <row r="291" spans="4:5" x14ac:dyDescent="0.25">
      <c r="D291"/>
      <c r="E291"/>
    </row>
    <row r="292" spans="4:5" x14ac:dyDescent="0.25">
      <c r="D292"/>
      <c r="E292"/>
    </row>
    <row r="293" spans="4:5" x14ac:dyDescent="0.25">
      <c r="D293"/>
      <c r="E293"/>
    </row>
    <row r="294" spans="4:5" x14ac:dyDescent="0.25">
      <c r="D294"/>
      <c r="E294"/>
    </row>
    <row r="295" spans="4:5" x14ac:dyDescent="0.25">
      <c r="D295"/>
      <c r="E295"/>
    </row>
    <row r="296" spans="4:5" x14ac:dyDescent="0.25">
      <c r="D296"/>
      <c r="E296"/>
    </row>
    <row r="297" spans="4:5" x14ac:dyDescent="0.25">
      <c r="D297"/>
      <c r="E297"/>
    </row>
    <row r="298" spans="4:5" x14ac:dyDescent="0.25">
      <c r="D298"/>
      <c r="E298"/>
    </row>
    <row r="299" spans="4:5" x14ac:dyDescent="0.25">
      <c r="D299"/>
      <c r="E299"/>
    </row>
    <row r="300" spans="4:5" x14ac:dyDescent="0.25">
      <c r="D300"/>
      <c r="E300"/>
    </row>
    <row r="301" spans="4:5" x14ac:dyDescent="0.25">
      <c r="D301"/>
      <c r="E301"/>
    </row>
    <row r="302" spans="4:5" x14ac:dyDescent="0.25">
      <c r="D302"/>
      <c r="E302"/>
    </row>
    <row r="303" spans="4:5" x14ac:dyDescent="0.25">
      <c r="D303"/>
      <c r="E303"/>
    </row>
    <row r="304" spans="4:5" x14ac:dyDescent="0.25">
      <c r="D304"/>
      <c r="E304"/>
    </row>
    <row r="305" spans="4:5" x14ac:dyDescent="0.25">
      <c r="D305"/>
      <c r="E305"/>
    </row>
    <row r="306" spans="4:5" x14ac:dyDescent="0.25">
      <c r="D306"/>
      <c r="E306"/>
    </row>
    <row r="307" spans="4:5" x14ac:dyDescent="0.25">
      <c r="D307"/>
      <c r="E307"/>
    </row>
    <row r="308" spans="4:5" x14ac:dyDescent="0.25">
      <c r="D308"/>
      <c r="E308"/>
    </row>
    <row r="309" spans="4:5" x14ac:dyDescent="0.25">
      <c r="D309"/>
      <c r="E309"/>
    </row>
    <row r="310" spans="4:5" x14ac:dyDescent="0.25">
      <c r="D310"/>
      <c r="E310"/>
    </row>
    <row r="311" spans="4:5" x14ac:dyDescent="0.25">
      <c r="D311"/>
      <c r="E311"/>
    </row>
    <row r="312" spans="4:5" x14ac:dyDescent="0.25">
      <c r="D312"/>
      <c r="E312"/>
    </row>
    <row r="313" spans="4:5" x14ac:dyDescent="0.25">
      <c r="D313"/>
      <c r="E313"/>
    </row>
    <row r="314" spans="4:5" x14ac:dyDescent="0.25">
      <c r="D314"/>
      <c r="E314"/>
    </row>
    <row r="315" spans="4:5" x14ac:dyDescent="0.25">
      <c r="D315"/>
      <c r="E315"/>
    </row>
    <row r="316" spans="4:5" x14ac:dyDescent="0.25">
      <c r="D316"/>
      <c r="E316"/>
    </row>
    <row r="317" spans="4:5" x14ac:dyDescent="0.25">
      <c r="D317"/>
      <c r="E317"/>
    </row>
    <row r="318" spans="4:5" x14ac:dyDescent="0.25">
      <c r="D318"/>
      <c r="E318"/>
    </row>
    <row r="319" spans="4:5" x14ac:dyDescent="0.25">
      <c r="D319"/>
      <c r="E319"/>
    </row>
    <row r="320" spans="4:5" x14ac:dyDescent="0.25">
      <c r="D320"/>
      <c r="E320"/>
    </row>
    <row r="321" spans="4:5" x14ac:dyDescent="0.25">
      <c r="D321"/>
      <c r="E321"/>
    </row>
    <row r="322" spans="4:5" x14ac:dyDescent="0.25">
      <c r="D322"/>
      <c r="E322"/>
    </row>
    <row r="323" spans="4:5" x14ac:dyDescent="0.25">
      <c r="D323"/>
      <c r="E323"/>
    </row>
    <row r="324" spans="4:5" x14ac:dyDescent="0.25">
      <c r="D324"/>
      <c r="E324"/>
    </row>
    <row r="325" spans="4:5" x14ac:dyDescent="0.25">
      <c r="D325"/>
      <c r="E325"/>
    </row>
    <row r="326" spans="4:5" x14ac:dyDescent="0.25">
      <c r="D326"/>
      <c r="E326"/>
    </row>
    <row r="327" spans="4:5" x14ac:dyDescent="0.25">
      <c r="D327"/>
      <c r="E327"/>
    </row>
    <row r="328" spans="4:5" x14ac:dyDescent="0.25">
      <c r="D328"/>
      <c r="E328"/>
    </row>
    <row r="329" spans="4:5" x14ac:dyDescent="0.25">
      <c r="D329"/>
      <c r="E329"/>
    </row>
    <row r="330" spans="4:5" x14ac:dyDescent="0.25">
      <c r="D330"/>
      <c r="E330"/>
    </row>
    <row r="331" spans="4:5" x14ac:dyDescent="0.25">
      <c r="D331"/>
      <c r="E331"/>
    </row>
    <row r="332" spans="4:5" x14ac:dyDescent="0.25">
      <c r="D332"/>
      <c r="E332"/>
    </row>
    <row r="333" spans="4:5" x14ac:dyDescent="0.25">
      <c r="D333"/>
      <c r="E333"/>
    </row>
    <row r="334" spans="4:5" x14ac:dyDescent="0.25">
      <c r="D334"/>
      <c r="E334"/>
    </row>
    <row r="335" spans="4:5" x14ac:dyDescent="0.25">
      <c r="D335"/>
      <c r="E335"/>
    </row>
    <row r="336" spans="4:5" x14ac:dyDescent="0.25">
      <c r="D336"/>
      <c r="E336"/>
    </row>
    <row r="337" spans="4:5" x14ac:dyDescent="0.25">
      <c r="D337"/>
      <c r="E337"/>
    </row>
    <row r="338" spans="4:5" x14ac:dyDescent="0.25">
      <c r="D338"/>
      <c r="E338"/>
    </row>
    <row r="339" spans="4:5" x14ac:dyDescent="0.25">
      <c r="D339"/>
      <c r="E339"/>
    </row>
    <row r="340" spans="4:5" x14ac:dyDescent="0.25">
      <c r="D340"/>
      <c r="E340"/>
    </row>
    <row r="341" spans="4:5" x14ac:dyDescent="0.25">
      <c r="D341"/>
      <c r="E341"/>
    </row>
    <row r="342" spans="4:5" x14ac:dyDescent="0.25">
      <c r="D342"/>
      <c r="E342"/>
    </row>
    <row r="343" spans="4:5" x14ac:dyDescent="0.25">
      <c r="D343"/>
      <c r="E343"/>
    </row>
    <row r="344" spans="4:5" x14ac:dyDescent="0.25">
      <c r="D344"/>
      <c r="E344"/>
    </row>
    <row r="345" spans="4:5" x14ac:dyDescent="0.25">
      <c r="D345"/>
      <c r="E345"/>
    </row>
    <row r="346" spans="4:5" x14ac:dyDescent="0.25">
      <c r="D346"/>
      <c r="E346"/>
    </row>
    <row r="347" spans="4:5" x14ac:dyDescent="0.25">
      <c r="D347"/>
      <c r="E347"/>
    </row>
    <row r="348" spans="4:5" x14ac:dyDescent="0.25">
      <c r="D348"/>
      <c r="E348"/>
    </row>
    <row r="349" spans="4:5" x14ac:dyDescent="0.25">
      <c r="D349"/>
      <c r="E349"/>
    </row>
    <row r="350" spans="4:5" x14ac:dyDescent="0.25">
      <c r="D350"/>
      <c r="E350"/>
    </row>
    <row r="351" spans="4:5" x14ac:dyDescent="0.25">
      <c r="D351"/>
      <c r="E351"/>
    </row>
    <row r="352" spans="4:5" x14ac:dyDescent="0.25">
      <c r="D352"/>
      <c r="E352"/>
    </row>
    <row r="353" spans="4:5" x14ac:dyDescent="0.25">
      <c r="D353"/>
      <c r="E353"/>
    </row>
    <row r="354" spans="4:5" x14ac:dyDescent="0.25">
      <c r="D354"/>
      <c r="E354"/>
    </row>
    <row r="355" spans="4:5" x14ac:dyDescent="0.25">
      <c r="D355"/>
      <c r="E355"/>
    </row>
    <row r="356" spans="4:5" x14ac:dyDescent="0.25">
      <c r="D356"/>
      <c r="E356"/>
    </row>
    <row r="357" spans="4:5" x14ac:dyDescent="0.25">
      <c r="D357"/>
      <c r="E357"/>
    </row>
    <row r="358" spans="4:5" x14ac:dyDescent="0.25">
      <c r="D358"/>
      <c r="E358"/>
    </row>
    <row r="359" spans="4:5" x14ac:dyDescent="0.25">
      <c r="D359"/>
      <c r="E359"/>
    </row>
    <row r="360" spans="4:5" x14ac:dyDescent="0.25">
      <c r="D360"/>
      <c r="E360"/>
    </row>
    <row r="361" spans="4:5" x14ac:dyDescent="0.25">
      <c r="D361"/>
      <c r="E361"/>
    </row>
    <row r="362" spans="4:5" x14ac:dyDescent="0.25">
      <c r="D362"/>
      <c r="E362"/>
    </row>
    <row r="363" spans="4:5" x14ac:dyDescent="0.25">
      <c r="D363"/>
      <c r="E363"/>
    </row>
    <row r="364" spans="4:5" x14ac:dyDescent="0.25">
      <c r="D364"/>
      <c r="E364"/>
    </row>
    <row r="365" spans="4:5" x14ac:dyDescent="0.25">
      <c r="D365"/>
      <c r="E365"/>
    </row>
    <row r="366" spans="4:5" x14ac:dyDescent="0.25">
      <c r="D366"/>
      <c r="E366"/>
    </row>
    <row r="367" spans="4:5" x14ac:dyDescent="0.25">
      <c r="D367"/>
      <c r="E367"/>
    </row>
    <row r="368" spans="4:5" x14ac:dyDescent="0.25">
      <c r="D368"/>
      <c r="E368"/>
    </row>
    <row r="369" spans="4:5" x14ac:dyDescent="0.25">
      <c r="D369"/>
      <c r="E369"/>
    </row>
    <row r="370" spans="4:5" x14ac:dyDescent="0.25">
      <c r="D370"/>
      <c r="E370"/>
    </row>
    <row r="371" spans="4:5" x14ac:dyDescent="0.25">
      <c r="D371"/>
      <c r="E371"/>
    </row>
    <row r="372" spans="4:5" x14ac:dyDescent="0.25">
      <c r="D372"/>
      <c r="E372"/>
    </row>
    <row r="373" spans="4:5" x14ac:dyDescent="0.25">
      <c r="D373"/>
      <c r="E373"/>
    </row>
    <row r="374" spans="4:5" x14ac:dyDescent="0.25">
      <c r="D374"/>
      <c r="E374"/>
    </row>
    <row r="375" spans="4:5" x14ac:dyDescent="0.25">
      <c r="D375"/>
      <c r="E375"/>
    </row>
    <row r="376" spans="4:5" x14ac:dyDescent="0.25">
      <c r="D376"/>
      <c r="E376"/>
    </row>
    <row r="377" spans="4:5" x14ac:dyDescent="0.25">
      <c r="D377"/>
      <c r="E377"/>
    </row>
    <row r="378" spans="4:5" x14ac:dyDescent="0.25">
      <c r="D378"/>
      <c r="E378"/>
    </row>
    <row r="379" spans="4:5" x14ac:dyDescent="0.25">
      <c r="D379"/>
      <c r="E379"/>
    </row>
    <row r="380" spans="4:5" x14ac:dyDescent="0.25">
      <c r="D380"/>
      <c r="E380"/>
    </row>
    <row r="381" spans="4:5" x14ac:dyDescent="0.25">
      <c r="D381"/>
      <c r="E381"/>
    </row>
    <row r="382" spans="4:5" x14ac:dyDescent="0.25">
      <c r="D382"/>
      <c r="E382"/>
    </row>
    <row r="383" spans="4:5" x14ac:dyDescent="0.25">
      <c r="D383"/>
      <c r="E383"/>
    </row>
    <row r="384" spans="4:5" x14ac:dyDescent="0.25">
      <c r="D384"/>
      <c r="E384"/>
    </row>
    <row r="385" spans="4:5" x14ac:dyDescent="0.25">
      <c r="D385"/>
      <c r="E385"/>
    </row>
    <row r="386" spans="4:5" x14ac:dyDescent="0.25">
      <c r="D386"/>
      <c r="E386"/>
    </row>
    <row r="387" spans="4:5" x14ac:dyDescent="0.25">
      <c r="D387"/>
      <c r="E387"/>
    </row>
    <row r="388" spans="4:5" x14ac:dyDescent="0.25">
      <c r="D388"/>
      <c r="E388"/>
    </row>
    <row r="389" spans="4:5" x14ac:dyDescent="0.25">
      <c r="D389"/>
      <c r="E389"/>
    </row>
    <row r="390" spans="4:5" x14ac:dyDescent="0.25">
      <c r="D390"/>
      <c r="E390"/>
    </row>
    <row r="391" spans="4:5" x14ac:dyDescent="0.25">
      <c r="D391"/>
      <c r="E391"/>
    </row>
    <row r="392" spans="4:5" x14ac:dyDescent="0.25">
      <c r="D392"/>
      <c r="E392"/>
    </row>
    <row r="393" spans="4:5" x14ac:dyDescent="0.25">
      <c r="D393"/>
      <c r="E393"/>
    </row>
    <row r="394" spans="4:5" x14ac:dyDescent="0.25">
      <c r="D394"/>
      <c r="E394"/>
    </row>
    <row r="395" spans="4:5" x14ac:dyDescent="0.25">
      <c r="D395"/>
      <c r="E395"/>
    </row>
    <row r="396" spans="4:5" x14ac:dyDescent="0.25">
      <c r="D396"/>
      <c r="E396"/>
    </row>
    <row r="397" spans="4:5" x14ac:dyDescent="0.25">
      <c r="D397"/>
      <c r="E397"/>
    </row>
    <row r="398" spans="4:5" x14ac:dyDescent="0.25">
      <c r="D398"/>
      <c r="E398"/>
    </row>
    <row r="399" spans="4:5" x14ac:dyDescent="0.25">
      <c r="D399"/>
      <c r="E399"/>
    </row>
    <row r="400" spans="4:5" x14ac:dyDescent="0.25">
      <c r="D400"/>
      <c r="E400"/>
    </row>
    <row r="401" spans="4:5" x14ac:dyDescent="0.25">
      <c r="D401"/>
      <c r="E401"/>
    </row>
    <row r="402" spans="4:5" x14ac:dyDescent="0.25">
      <c r="D402"/>
      <c r="E402"/>
    </row>
    <row r="403" spans="4:5" x14ac:dyDescent="0.25">
      <c r="D403"/>
      <c r="E403"/>
    </row>
    <row r="404" spans="4:5" x14ac:dyDescent="0.25">
      <c r="D404"/>
      <c r="E404"/>
    </row>
    <row r="405" spans="4:5" x14ac:dyDescent="0.25">
      <c r="D405"/>
      <c r="E405"/>
    </row>
    <row r="406" spans="4:5" x14ac:dyDescent="0.25">
      <c r="D406"/>
      <c r="E406"/>
    </row>
    <row r="407" spans="4:5" x14ac:dyDescent="0.25">
      <c r="D407"/>
      <c r="E407"/>
    </row>
    <row r="408" spans="4:5" x14ac:dyDescent="0.25">
      <c r="D408"/>
      <c r="E408"/>
    </row>
    <row r="409" spans="4:5" x14ac:dyDescent="0.25">
      <c r="D409"/>
      <c r="E409"/>
    </row>
    <row r="410" spans="4:5" x14ac:dyDescent="0.25">
      <c r="D410"/>
      <c r="E410"/>
    </row>
    <row r="411" spans="4:5" x14ac:dyDescent="0.25">
      <c r="D411"/>
      <c r="E411"/>
    </row>
    <row r="412" spans="4:5" x14ac:dyDescent="0.25">
      <c r="D412"/>
      <c r="E412"/>
    </row>
    <row r="413" spans="4:5" x14ac:dyDescent="0.25">
      <c r="D413"/>
      <c r="E413"/>
    </row>
    <row r="414" spans="4:5" x14ac:dyDescent="0.25">
      <c r="D414"/>
      <c r="E414"/>
    </row>
    <row r="415" spans="4:5" x14ac:dyDescent="0.25">
      <c r="D415"/>
      <c r="E415"/>
    </row>
    <row r="416" spans="4:5" x14ac:dyDescent="0.25">
      <c r="D416"/>
      <c r="E416"/>
    </row>
    <row r="417" spans="4:5" x14ac:dyDescent="0.25">
      <c r="D417"/>
      <c r="E417"/>
    </row>
    <row r="418" spans="4:5" x14ac:dyDescent="0.25">
      <c r="D418"/>
      <c r="E418"/>
    </row>
    <row r="419" spans="4:5" x14ac:dyDescent="0.25">
      <c r="D419"/>
      <c r="E419"/>
    </row>
    <row r="420" spans="4:5" x14ac:dyDescent="0.25">
      <c r="D420"/>
      <c r="E420"/>
    </row>
    <row r="421" spans="4:5" x14ac:dyDescent="0.25">
      <c r="D421"/>
      <c r="E421"/>
    </row>
    <row r="422" spans="4:5" x14ac:dyDescent="0.25">
      <c r="D422"/>
      <c r="E422"/>
    </row>
    <row r="423" spans="4:5" x14ac:dyDescent="0.25">
      <c r="D423"/>
      <c r="E423"/>
    </row>
    <row r="424" spans="4:5" x14ac:dyDescent="0.25">
      <c r="D424"/>
      <c r="E424"/>
    </row>
    <row r="425" spans="4:5" x14ac:dyDescent="0.25">
      <c r="D425"/>
      <c r="E425"/>
    </row>
    <row r="426" spans="4:5" x14ac:dyDescent="0.25">
      <c r="D426"/>
      <c r="E426"/>
    </row>
    <row r="427" spans="4:5" x14ac:dyDescent="0.25">
      <c r="D427"/>
      <c r="E427"/>
    </row>
    <row r="428" spans="4:5" x14ac:dyDescent="0.25">
      <c r="D428"/>
      <c r="E428"/>
    </row>
    <row r="429" spans="4:5" x14ac:dyDescent="0.25">
      <c r="D429"/>
      <c r="E429"/>
    </row>
    <row r="430" spans="4:5" x14ac:dyDescent="0.25">
      <c r="D430"/>
      <c r="E430"/>
    </row>
    <row r="431" spans="4:5" x14ac:dyDescent="0.25">
      <c r="D431"/>
      <c r="E431"/>
    </row>
    <row r="432" spans="4:5" x14ac:dyDescent="0.25">
      <c r="D432"/>
      <c r="E432"/>
    </row>
    <row r="433" spans="4:5" x14ac:dyDescent="0.25">
      <c r="D433"/>
      <c r="E433"/>
    </row>
    <row r="434" spans="4:5" x14ac:dyDescent="0.25">
      <c r="D434"/>
      <c r="E434"/>
    </row>
    <row r="435" spans="4:5" x14ac:dyDescent="0.25">
      <c r="D435"/>
      <c r="E435"/>
    </row>
    <row r="436" spans="4:5" x14ac:dyDescent="0.25">
      <c r="D436"/>
      <c r="E436"/>
    </row>
    <row r="437" spans="4:5" x14ac:dyDescent="0.25">
      <c r="D437"/>
      <c r="E437"/>
    </row>
    <row r="438" spans="4:5" x14ac:dyDescent="0.25">
      <c r="D438"/>
      <c r="E438"/>
    </row>
    <row r="439" spans="4:5" x14ac:dyDescent="0.25">
      <c r="D439"/>
      <c r="E439"/>
    </row>
    <row r="440" spans="4:5" x14ac:dyDescent="0.25">
      <c r="D440"/>
      <c r="E440"/>
    </row>
    <row r="441" spans="4:5" x14ac:dyDescent="0.25">
      <c r="D441"/>
      <c r="E441"/>
    </row>
    <row r="442" spans="4:5" x14ac:dyDescent="0.25">
      <c r="D442"/>
      <c r="E442"/>
    </row>
    <row r="443" spans="4:5" x14ac:dyDescent="0.25">
      <c r="D443"/>
      <c r="E443"/>
    </row>
    <row r="444" spans="4:5" x14ac:dyDescent="0.25">
      <c r="D444"/>
      <c r="E444"/>
    </row>
    <row r="445" spans="4:5" x14ac:dyDescent="0.25">
      <c r="D445"/>
      <c r="E445"/>
    </row>
    <row r="446" spans="4:5" x14ac:dyDescent="0.25">
      <c r="D446"/>
      <c r="E446"/>
    </row>
    <row r="447" spans="4:5" x14ac:dyDescent="0.25">
      <c r="D447"/>
      <c r="E447"/>
    </row>
    <row r="448" spans="4:5" x14ac:dyDescent="0.25">
      <c r="D448"/>
      <c r="E448"/>
    </row>
    <row r="449" spans="4:5" x14ac:dyDescent="0.25">
      <c r="D449"/>
      <c r="E449"/>
    </row>
  </sheetData>
  <mergeCells count="35">
    <mergeCell ref="C31:G31"/>
    <mergeCell ref="C21:D21"/>
    <mergeCell ref="C30:G30"/>
    <mergeCell ref="E21:F21"/>
    <mergeCell ref="E20:F20"/>
    <mergeCell ref="C23:G23"/>
    <mergeCell ref="B33:D33"/>
    <mergeCell ref="C11:D11"/>
    <mergeCell ref="B35:G35"/>
    <mergeCell ref="C26:D26"/>
    <mergeCell ref="E29:G29"/>
    <mergeCell ref="C19:D19"/>
    <mergeCell ref="C17:D17"/>
    <mergeCell ref="E19:F19"/>
    <mergeCell ref="E18:F18"/>
    <mergeCell ref="C12:D12"/>
    <mergeCell ref="B32:D32"/>
    <mergeCell ref="C24:G24"/>
    <mergeCell ref="C20:D20"/>
    <mergeCell ref="C15:D15"/>
    <mergeCell ref="C25:D25"/>
    <mergeCell ref="C4:D5"/>
    <mergeCell ref="C7:D7"/>
    <mergeCell ref="C22:G22"/>
    <mergeCell ref="C28:G28"/>
    <mergeCell ref="C18:D18"/>
    <mergeCell ref="C27:G27"/>
    <mergeCell ref="F7:G7"/>
    <mergeCell ref="C10:D10"/>
    <mergeCell ref="C9:D9"/>
    <mergeCell ref="F8:G8"/>
    <mergeCell ref="F9:G9"/>
    <mergeCell ref="C8:D8"/>
    <mergeCell ref="F10:G10"/>
    <mergeCell ref="C16:D16"/>
  </mergeCells>
  <phoneticPr fontId="1" type="noConversion"/>
  <hyperlinks>
    <hyperlink ref="F8" r:id="rId1" display="joanna@gentrice.net" xr:uid="{5C353C36-263B-4D73-B024-4F6421442EC6}"/>
  </hyperlinks>
  <pageMargins left="0.75" right="0.75" top="1" bottom="1" header="0.5" footer="0.5"/>
  <pageSetup paperSize="9" scale="5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2014-12-04T07:48:54Z</cp:lastPrinted>
  <dcterms:created xsi:type="dcterms:W3CDTF">1999-12-09T02:36:51Z</dcterms:created>
  <dcterms:modified xsi:type="dcterms:W3CDTF">2025-05-20T10:20:06Z</dcterms:modified>
</cp:coreProperties>
</file>