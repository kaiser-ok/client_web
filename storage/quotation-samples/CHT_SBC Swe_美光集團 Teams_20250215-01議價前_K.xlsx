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SBC\"/>
    </mc:Choice>
  </mc:AlternateContent>
  <xr:revisionPtr revIDLastSave="0" documentId="8_{B407C275-6DEE-448C-BE3F-64F37E062787}" xr6:coauthVersionLast="47" xr6:coauthVersionMax="47" xr10:uidLastSave="{00000000-0000-0000-0000-000000000000}"/>
  <bookViews>
    <workbookView xWindow="-110" yWindow="-110" windowWidth="19420" windowHeight="11500" tabRatio="458" xr2:uid="{00000000-000D-0000-FFFF-FFFF00000000}"/>
  </bookViews>
  <sheets>
    <sheet name="系統報價" sheetId="7" r:id="rId1"/>
    <sheet name="工作表1" sheetId="8" r:id="rId2"/>
  </sheets>
  <definedNames>
    <definedName name="_xlnm.Print_Area" localSheetId="0">系統報價!$A$1:$G$39</definedName>
  </definedNames>
  <calcPr calcId="191029"/>
</workbook>
</file>

<file path=xl/calcChain.xml><?xml version="1.0" encoding="utf-8"?>
<calcChain xmlns="http://schemas.openxmlformats.org/spreadsheetml/2006/main">
  <c r="E24" i="7" l="1"/>
  <c r="E23" i="7"/>
  <c r="E22" i="7"/>
  <c r="E21" i="7"/>
  <c r="E20" i="7"/>
  <c r="E16" i="7"/>
  <c r="E19" i="7"/>
  <c r="E18" i="7"/>
  <c r="E17" i="7"/>
  <c r="G21" i="7" l="1"/>
  <c r="G20" i="7"/>
  <c r="G19" i="7" l="1"/>
  <c r="E26" i="7" s="1"/>
  <c r="G18" i="7" l="1"/>
  <c r="G23" i="7" l="1"/>
  <c r="G17" i="7"/>
  <c r="G24" i="7" l="1"/>
  <c r="G22" i="7" l="1"/>
  <c r="G16" i="7" l="1"/>
  <c r="E25" i="7" s="1"/>
  <c r="G25" i="7" s="1"/>
  <c r="G26" i="7" l="1"/>
  <c r="G27" i="7" l="1"/>
  <c r="G28" i="7"/>
</calcChain>
</file>

<file path=xl/sharedStrings.xml><?xml version="1.0" encoding="utf-8"?>
<sst xmlns="http://schemas.openxmlformats.org/spreadsheetml/2006/main" count="79" uniqueCount="79">
  <si>
    <t>數量</t>
  </si>
  <si>
    <t>項次</t>
    <phoneticPr fontId="3" type="noConversion"/>
  </si>
  <si>
    <t xml:space="preserve">  </t>
    <phoneticPr fontId="3" type="noConversion"/>
  </si>
  <si>
    <t>顯赫資訊股份有限公司</t>
    <phoneticPr fontId="2" type="noConversion"/>
  </si>
  <si>
    <r>
      <t>貴公司所詢問之產品</t>
    </r>
    <r>
      <rPr>
        <b/>
        <sz val="24"/>
        <rFont val="Times New Roman"/>
        <family val="1"/>
      </rPr>
      <t>,</t>
    </r>
    <r>
      <rPr>
        <b/>
        <sz val="24"/>
        <rFont val="新細明體"/>
        <family val="1"/>
        <charset val="136"/>
      </rPr>
      <t>報價如下</t>
    </r>
    <r>
      <rPr>
        <b/>
        <sz val="24"/>
        <rFont val="Times New Roman"/>
        <family val="1"/>
      </rPr>
      <t>:</t>
    </r>
    <phoneticPr fontId="3" type="noConversion"/>
  </si>
  <si>
    <t>規格</t>
    <phoneticPr fontId="2" type="noConversion"/>
  </si>
  <si>
    <r>
      <t>統一編號：</t>
    </r>
    <r>
      <rPr>
        <sz val="16"/>
        <rFont val="Times New Roman"/>
        <family val="1"/>
      </rPr>
      <t>80426746</t>
    </r>
    <phoneticPr fontId="3" type="noConversion"/>
  </si>
  <si>
    <t>Remark   :</t>
    <phoneticPr fontId="2" type="noConversion"/>
  </si>
  <si>
    <r>
      <t>單位：新台幣</t>
    </r>
    <r>
      <rPr>
        <b/>
        <sz val="20"/>
        <rFont val="Times New Roman"/>
        <family val="1"/>
      </rPr>
      <t xml:space="preserve"> </t>
    </r>
    <r>
      <rPr>
        <b/>
        <sz val="20"/>
        <rFont val="細明體"/>
        <family val="3"/>
      </rPr>
      <t>元</t>
    </r>
    <phoneticPr fontId="3" type="noConversion"/>
  </si>
  <si>
    <t>本報價單於取得客戶之同意簽章後，視為正式訂單即刻生效。</t>
    <phoneticPr fontId="24" type="noConversion"/>
  </si>
  <si>
    <t>註：</t>
    <phoneticPr fontId="24" type="noConversion"/>
  </si>
  <si>
    <t>保固條件：</t>
    <phoneticPr fontId="3" type="noConversion"/>
  </si>
  <si>
    <t>Signature</t>
    <phoneticPr fontId="3" type="noConversion"/>
  </si>
  <si>
    <r>
      <t>公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名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稱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 xml:space="preserve">:  </t>
    </r>
    <phoneticPr fontId="2" type="noConversion"/>
  </si>
  <si>
    <r>
      <t>聯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>絡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 xml:space="preserve">  :  </t>
    </r>
    <phoneticPr fontId="3" type="noConversion"/>
  </si>
  <si>
    <r>
      <t>聯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Times New Roman"/>
        <family val="1"/>
      </rPr>
      <t xml:space="preserve">  :  </t>
    </r>
    <phoneticPr fontId="3" type="noConversion"/>
  </si>
  <si>
    <t xml:space="preserve">報價日期  :    </t>
    <phoneticPr fontId="2" type="noConversion"/>
  </si>
  <si>
    <t>付款條件：</t>
    <phoneticPr fontId="3" type="noConversion"/>
  </si>
  <si>
    <t>小計</t>
    <phoneticPr fontId="2" type="noConversion"/>
  </si>
  <si>
    <t>產品名稱</t>
    <phoneticPr fontId="2" type="noConversion"/>
  </si>
  <si>
    <t>含稅總計：</t>
    <phoneticPr fontId="3" type="noConversion"/>
  </si>
  <si>
    <t>未稅小計：</t>
    <phoneticPr fontId="3" type="noConversion"/>
  </si>
  <si>
    <t>單價</t>
    <phoneticPr fontId="3" type="noConversion"/>
  </si>
  <si>
    <r>
      <t>聯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>絡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Times New Roman"/>
        <family val="1"/>
      </rPr>
      <t xml:space="preserve">  </t>
    </r>
    <r>
      <rPr>
        <b/>
        <sz val="20"/>
        <rFont val="新細明體"/>
        <family val="1"/>
        <charset val="136"/>
      </rPr>
      <t xml:space="preserve">:   </t>
    </r>
    <phoneticPr fontId="3" type="noConversion"/>
  </si>
  <si>
    <r>
      <t>電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>話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 xml:space="preserve">:  </t>
    </r>
    <phoneticPr fontId="2" type="noConversion"/>
  </si>
  <si>
    <t>02-8226-9200#140</t>
    <phoneticPr fontId="3" type="noConversion"/>
  </si>
  <si>
    <t>02-8226-9211</t>
    <phoneticPr fontId="3" type="noConversion"/>
  </si>
  <si>
    <r>
      <t>林大志</t>
    </r>
    <r>
      <rPr>
        <b/>
        <sz val="20"/>
        <rFont val="Times New Roman"/>
        <family val="1"/>
      </rPr>
      <t xml:space="preserve"> 0933-030309</t>
    </r>
    <phoneticPr fontId="3" type="noConversion"/>
  </si>
  <si>
    <r>
      <t xml:space="preserve">  </t>
    </r>
    <r>
      <rPr>
        <b/>
        <sz val="20"/>
        <rFont val="新細明體"/>
        <family val="1"/>
        <charset val="136"/>
      </rPr>
      <t>傳</t>
    </r>
    <r>
      <rPr>
        <b/>
        <sz val="20"/>
        <rFont val="Times New Roman"/>
        <family val="1"/>
      </rPr>
      <t xml:space="preserve">    </t>
    </r>
    <r>
      <rPr>
        <b/>
        <sz val="20"/>
        <rFont val="新細明體"/>
        <family val="1"/>
        <charset val="136"/>
      </rPr>
      <t>真</t>
    </r>
    <r>
      <rPr>
        <b/>
        <sz val="20"/>
        <rFont val="Times New Roman"/>
        <family val="1"/>
      </rPr>
      <t xml:space="preserve">   </t>
    </r>
    <r>
      <rPr>
        <b/>
        <sz val="20"/>
        <rFont val="新細明體"/>
        <family val="1"/>
        <charset val="136"/>
      </rPr>
      <t xml:space="preserve"> :    </t>
    </r>
    <phoneticPr fontId="2" type="noConversion"/>
  </si>
  <si>
    <t>E-Mail :</t>
    <phoneticPr fontId="3" type="noConversion"/>
  </si>
  <si>
    <r>
      <t>專案類別</t>
    </r>
    <r>
      <rPr>
        <b/>
        <sz val="20"/>
        <rFont val="Times New Roman"/>
        <family val="1"/>
      </rPr>
      <t xml:space="preserve">  :  </t>
    </r>
    <phoneticPr fontId="3" type="noConversion"/>
  </si>
  <si>
    <r>
      <t>行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動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Times New Roman"/>
        <family val="1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Times New Roman"/>
        <family val="1"/>
      </rPr>
      <t xml:space="preserve">  :  </t>
    </r>
    <phoneticPr fontId="3" type="noConversion"/>
  </si>
  <si>
    <t>專案</t>
    <phoneticPr fontId="3" type="noConversion"/>
  </si>
  <si>
    <t>2</t>
    <phoneticPr fontId="3" type="noConversion"/>
  </si>
  <si>
    <t>4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</si>
  <si>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</si>
  <si>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</si>
  <si>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</si>
  <si>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3</t>
    <phoneticPr fontId="3" type="noConversion"/>
  </si>
  <si>
    <t>地址：新北市中和區建一路166號13樓之3</t>
    <phoneticPr fontId="3" type="noConversion"/>
  </si>
  <si>
    <t>技術服務</t>
    <phoneticPr fontId="3" type="noConversion"/>
  </si>
  <si>
    <t>第2~5年，延長技術服務</t>
    <phoneticPr fontId="3" type="noConversion"/>
  </si>
  <si>
    <t>保固五年，第六起保固專案報價。</t>
    <phoneticPr fontId="3" type="noConversion"/>
  </si>
  <si>
    <t xml:space="preserve">Ribbon SWe  SBC HA (High Availability) 系統
</t>
    <phoneticPr fontId="3" type="noConversion"/>
  </si>
  <si>
    <t>SBC SWe HA 系統</t>
    <phoneticPr fontId="3" type="noConversion"/>
  </si>
  <si>
    <t>SBC SWe HA
通話授權</t>
    <phoneticPr fontId="3" type="noConversion"/>
  </si>
  <si>
    <t>SBC SWe 硬體</t>
    <phoneticPr fontId="3" type="noConversion"/>
  </si>
  <si>
    <t>安裝工程
 (僅提供基本硬體安裝上架，SBC SWe Server x2  )。</t>
    <phoneticPr fontId="3" type="noConversion"/>
  </si>
  <si>
    <t>美光集團專案使用- SBC SWe HA 延長保固</t>
    <phoneticPr fontId="3" type="noConversion"/>
  </si>
  <si>
    <t xml:space="preserve">1U Server 
1. CPU:Intel Xeon® Silver 4310 Processor x1 ,16GB Ram x2, 960GB SSD x4,Raid 5 (5年保固)
2. VMware vSphere Standard - (5年訂閱制) </t>
    <phoneticPr fontId="3" type="noConversion"/>
  </si>
  <si>
    <t>8</t>
    <phoneticPr fontId="3" type="noConversion"/>
  </si>
  <si>
    <t>SBC 1000
系統</t>
    <phoneticPr fontId="3" type="noConversion"/>
  </si>
  <si>
    <t>9</t>
    <phoneticPr fontId="3" type="noConversion"/>
  </si>
  <si>
    <t>SBC 1000
通話授權</t>
    <phoneticPr fontId="3" type="noConversion"/>
  </si>
  <si>
    <t>10</t>
    <phoneticPr fontId="3" type="noConversion"/>
  </si>
  <si>
    <t>SBC 1000 
硬體安裝工程</t>
    <phoneticPr fontId="3" type="noConversion"/>
  </si>
  <si>
    <t>SBC SWe 
硬體安裝工程</t>
    <phoneticPr fontId="3" type="noConversion"/>
  </si>
  <si>
    <t>美光集團專案使用-延長保固第二 ~ 第五年，共 4年
SBC SWe HA延長保固 (項次 1 +項次 2)。</t>
    <phoneticPr fontId="3" type="noConversion"/>
  </si>
  <si>
    <t>美光集團專案使用-延長保固第二 ~ 第五年，共 4年
SBC 1000 延長保固 (項次 4 +項次 5)。</t>
    <phoneticPr fontId="3" type="noConversion"/>
  </si>
  <si>
    <t>美光集團專案使用- SBC 1000 延長保固</t>
    <phoneticPr fontId="3" type="noConversion"/>
  </si>
  <si>
    <t>11</t>
    <phoneticPr fontId="3" type="noConversion"/>
  </si>
  <si>
    <r>
      <t xml:space="preserve">3.SBC SWe </t>
    </r>
    <r>
      <rPr>
        <sz val="14"/>
        <rFont val="新細明體"/>
        <family val="1"/>
        <charset val="136"/>
      </rPr>
      <t>硬體交期</t>
    </r>
    <r>
      <rPr>
        <sz val="14"/>
        <rFont val="Times New Roman"/>
        <family val="1"/>
      </rPr>
      <t xml:space="preserve"> 6 ~ 8 </t>
    </r>
    <r>
      <rPr>
        <sz val="14"/>
        <rFont val="新細明體"/>
        <family val="1"/>
        <charset val="136"/>
      </rPr>
      <t>週。</t>
    </r>
    <phoneticPr fontId="3" type="noConversion"/>
  </si>
  <si>
    <t>中華電信臺中營運處 第二企業客戶科</t>
    <phoneticPr fontId="3" type="noConversion"/>
  </si>
  <si>
    <t>王鼎鈞 先生</t>
    <phoneticPr fontId="3" type="noConversion"/>
  </si>
  <si>
    <t>0963-189477</t>
    <phoneticPr fontId="3" type="noConversion"/>
  </si>
  <si>
    <t>04-25265244</t>
    <phoneticPr fontId="3" type="noConversion"/>
  </si>
  <si>
    <t>camiki@cht.com.tw</t>
    <phoneticPr fontId="3" type="noConversion"/>
  </si>
  <si>
    <t>SBC SWe HA 系統設定服務。
與美光雲端 SBC 介接設定</t>
    <phoneticPr fontId="3" type="noConversion"/>
  </si>
  <si>
    <r>
      <t>第2~5年，5x8 延長技術服務
提供</t>
    </r>
    <r>
      <rPr>
        <b/>
        <sz val="16"/>
        <rFont val="微軟正黑體"/>
        <family val="2"/>
        <charset val="136"/>
      </rPr>
      <t>初級</t>
    </r>
    <r>
      <rPr>
        <sz val="16"/>
        <rFont val="微軟正黑體"/>
        <family val="2"/>
        <charset val="136"/>
      </rPr>
      <t>技術服務: 提供產品資訊和授權查詢、一般性問題: 例如使用者帳密名稱、Web GUI選單操作、安裝問題。
(不包括支援遠端及現場端障礙查修服務)</t>
    </r>
    <phoneticPr fontId="3" type="noConversion"/>
  </si>
  <si>
    <t xml:space="preserve">美光集團(台北、桃園、台中、台南) </t>
    <phoneticPr fontId="3" type="noConversion"/>
  </si>
  <si>
    <t>Ribbon SBC1000 系統 
(台北、桃園、台南）</t>
    <phoneticPr fontId="3" type="noConversion"/>
  </si>
  <si>
    <r>
      <t xml:space="preserve">4.SBC 1000 </t>
    </r>
    <r>
      <rPr>
        <sz val="14"/>
        <rFont val="新細明體"/>
        <family val="1"/>
        <charset val="136"/>
      </rPr>
      <t>硬體交期</t>
    </r>
    <r>
      <rPr>
        <sz val="14"/>
        <rFont val="Times New Roman"/>
        <family val="1"/>
      </rPr>
      <t xml:space="preserve"> 4 </t>
    </r>
    <r>
      <rPr>
        <sz val="14"/>
        <rFont val="新細明體"/>
        <family val="1"/>
        <charset val="136"/>
      </rPr>
      <t>週。</t>
    </r>
    <phoneticPr fontId="3" type="noConversion"/>
  </si>
  <si>
    <r>
      <t>2.</t>
    </r>
    <r>
      <rPr>
        <sz val="14"/>
        <rFont val="新細明體"/>
        <family val="1"/>
        <charset val="136"/>
      </rPr>
      <t>本報價僅適用於本專案。</t>
    </r>
    <phoneticPr fontId="2" type="noConversion"/>
  </si>
  <si>
    <r>
      <t xml:space="preserve">1. </t>
    </r>
    <r>
      <rPr>
        <sz val="14"/>
        <rFont val="細明體"/>
        <family val="3"/>
      </rPr>
      <t>報價單有效期限為</t>
    </r>
    <r>
      <rPr>
        <sz val="14"/>
        <rFont val="Times New Roman"/>
        <family val="1"/>
      </rPr>
      <t xml:space="preserve"> </t>
    </r>
    <r>
      <rPr>
        <sz val="14"/>
        <rFont val="細明體"/>
        <family val="3"/>
      </rPr>
      <t>即日起</t>
    </r>
    <r>
      <rPr>
        <b/>
        <sz val="14"/>
        <rFont val="細明體"/>
        <family val="3"/>
        <charset val="136"/>
      </rPr>
      <t xml:space="preserve"> 60 </t>
    </r>
    <r>
      <rPr>
        <sz val="14"/>
        <rFont val="細明體"/>
        <family val="3"/>
      </rPr>
      <t>日內</t>
    </r>
    <r>
      <rPr>
        <sz val="14"/>
        <rFont val="Times New Roman"/>
        <family val="1"/>
      </rPr>
      <t>(</t>
    </r>
    <r>
      <rPr>
        <sz val="14"/>
        <rFont val="細明體"/>
        <family val="3"/>
      </rPr>
      <t>含假日</t>
    </r>
    <r>
      <rPr>
        <sz val="14"/>
        <rFont val="Times New Roman"/>
        <family val="1"/>
      </rPr>
      <t>)</t>
    </r>
    <r>
      <rPr>
        <sz val="14"/>
        <rFont val="細明體"/>
        <family val="3"/>
      </rPr>
      <t>有效</t>
    </r>
    <phoneticPr fontId="2" type="noConversion"/>
  </si>
  <si>
    <t>20250215-01</t>
    <phoneticPr fontId="3" type="noConversion"/>
  </si>
  <si>
    <r>
      <t>提供SBC SWe HA (High Availability) 200 路，SIP 語音專用通話授權，每10路為一單位計算。
每 10 路單價</t>
    </r>
    <r>
      <rPr>
        <sz val="16"/>
        <color rgb="FFFF0000"/>
        <rFont val="微軟正黑體"/>
        <family val="2"/>
        <charset val="136"/>
      </rPr>
      <t xml:space="preserve"> 40,400</t>
    </r>
    <r>
      <rPr>
        <sz val="16"/>
        <rFont val="微軟正黑體"/>
        <family val="2"/>
        <charset val="136"/>
      </rPr>
      <t>元。</t>
    </r>
    <phoneticPr fontId="3" type="noConversion"/>
  </si>
  <si>
    <r>
      <t>提供 40 路最大同時通話授權 (授權數以10乘倍數計算)
台北 : 10
桃園 : 30，
台南 : 30，合計 70 路，每 10 路單價</t>
    </r>
    <r>
      <rPr>
        <sz val="16"/>
        <color rgb="FFFF0000"/>
        <rFont val="微軟正黑體"/>
        <family val="2"/>
        <charset val="136"/>
      </rPr>
      <t xml:space="preserve"> 20,400</t>
    </r>
    <r>
      <rPr>
        <sz val="16"/>
        <rFont val="微軟正黑體"/>
        <family val="2"/>
        <charset val="136"/>
      </rPr>
      <t>元。</t>
    </r>
    <phoneticPr fontId="3" type="noConversion"/>
  </si>
  <si>
    <r>
      <t xml:space="preserve">安裝工程
 (僅提供基本硬體安裝上架，SBC 1000 x2  )。
台北 : </t>
    </r>
    <r>
      <rPr>
        <sz val="16"/>
        <color rgb="FFFF0000"/>
        <rFont val="微軟正黑體"/>
        <family val="2"/>
        <charset val="136"/>
      </rPr>
      <t>2,616</t>
    </r>
    <r>
      <rPr>
        <sz val="16"/>
        <rFont val="微軟正黑體"/>
        <family val="2"/>
        <charset val="136"/>
      </rPr>
      <t>元 (北北基地區)
桃園 :</t>
    </r>
    <r>
      <rPr>
        <sz val="16"/>
        <color rgb="FFFF0000"/>
        <rFont val="微軟正黑體"/>
        <family val="2"/>
        <charset val="136"/>
      </rPr>
      <t xml:space="preserve"> 9,300</t>
    </r>
    <r>
      <rPr>
        <sz val="16"/>
        <rFont val="微軟正黑體"/>
        <family val="2"/>
        <charset val="136"/>
      </rPr>
      <t>元 (北北基以外)
台南 :</t>
    </r>
    <r>
      <rPr>
        <sz val="16"/>
        <color rgb="FFFF0000"/>
        <rFont val="微軟正黑體"/>
        <family val="2"/>
        <charset val="136"/>
      </rPr>
      <t xml:space="preserve"> 9,300</t>
    </r>
    <r>
      <rPr>
        <sz val="16"/>
        <rFont val="微軟正黑體"/>
        <family val="2"/>
        <charset val="136"/>
      </rPr>
      <t>元 (北北基以外)</t>
    </r>
    <phoneticPr fontId="3" type="noConversion"/>
  </si>
  <si>
    <r>
      <t>5.</t>
    </r>
    <r>
      <rPr>
        <sz val="14"/>
        <rFont val="新細明體"/>
        <family val="1"/>
        <charset val="136"/>
      </rPr>
      <t>本公司同意未簽約先行提供服務，如因本公司因素導致中華電信遭業主罰款，將同額承擔罰款。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</si>
</sst>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);[Red]\(#,##0\)"/>
  </numFmts>
  <fonts count="3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b/>
      <sz val="24"/>
      <name val="新細明體"/>
      <family val="1"/>
      <charset val="136"/>
    </font>
    <font>
      <sz val="24"/>
      <name val="新細明體"/>
      <family val="1"/>
      <charset val="136"/>
    </font>
    <font>
      <b/>
      <sz val="26"/>
      <name val="新細明體"/>
      <family val="1"/>
      <charset val="136"/>
    </font>
    <font>
      <sz val="20"/>
      <name val="Times New Roman"/>
      <family val="1"/>
    </font>
    <font>
      <sz val="16"/>
      <name val="Times New Roman"/>
      <family val="1"/>
    </font>
    <font>
      <sz val="20"/>
      <name val="細明體"/>
      <family val="3"/>
    </font>
    <font>
      <sz val="14"/>
      <name val="細明體"/>
      <family val="3"/>
    </font>
    <font>
      <b/>
      <sz val="20"/>
      <name val="細明體"/>
      <family val="3"/>
    </font>
    <font>
      <b/>
      <sz val="16"/>
      <name val="Times New Roman"/>
      <family val="1"/>
    </font>
    <font>
      <sz val="9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細明體"/>
      <family val="3"/>
      <charset val="136"/>
    </font>
    <font>
      <u/>
      <sz val="12"/>
      <color theme="10"/>
      <name val="新細明體"/>
      <family val="1"/>
      <charset val="136"/>
    </font>
    <font>
      <u/>
      <sz val="18"/>
      <color theme="10"/>
      <name val="新細明體"/>
      <family val="1"/>
      <charset val="136"/>
    </font>
    <font>
      <sz val="16"/>
      <color rgb="FFFF0000"/>
      <name val="微軟正黑體"/>
      <family val="2"/>
      <charset val="136"/>
    </font>
    <font>
      <b/>
      <sz val="14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73">
    <xf numFmtId="0" fontId="0" fillId="0" borderId="0" xfId="0"/>
    <xf numFmtId="0" fontId="5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5" fillId="0" borderId="1" xfId="0" applyFont="1" applyBorder="1"/>
    <xf numFmtId="14" fontId="8" fillId="0" borderId="2" xfId="0" applyNumberFormat="1" applyFont="1" applyBorder="1"/>
    <xf numFmtId="14" fontId="8" fillId="0" borderId="0" xfId="0" applyNumberFormat="1" applyFont="1"/>
    <xf numFmtId="0" fontId="8" fillId="0" borderId="0" xfId="0" applyFont="1"/>
    <xf numFmtId="0" fontId="11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49" fontId="13" fillId="0" borderId="0" xfId="0" applyNumberFormat="1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7" fillId="2" borderId="3" xfId="0" applyFont="1" applyFill="1" applyBorder="1" applyAlignment="1">
      <alignment horizontal="center"/>
    </xf>
    <xf numFmtId="176" fontId="7" fillId="2" borderId="3" xfId="1" applyNumberFormat="1" applyFont="1" applyFill="1" applyBorder="1" applyAlignment="1">
      <alignment horizontal="left"/>
    </xf>
    <xf numFmtId="176" fontId="7" fillId="2" borderId="3" xfId="1" applyNumberFormat="1" applyFont="1" applyFill="1" applyBorder="1" applyAlignment="1">
      <alignment horizontal="left" wrapText="1"/>
    </xf>
    <xf numFmtId="49" fontId="22" fillId="0" borderId="0" xfId="0" applyNumberFormat="1" applyFont="1" applyAlignment="1">
      <alignment horizontal="left"/>
    </xf>
    <xf numFmtId="0" fontId="20" fillId="0" borderId="0" xfId="0" applyFont="1" applyAlignment="1">
      <alignment wrapText="1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 wrapText="1"/>
    </xf>
    <xf numFmtId="58" fontId="8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49" fontId="18" fillId="0" borderId="0" xfId="0" applyNumberFormat="1" applyFont="1"/>
    <xf numFmtId="0" fontId="25" fillId="0" borderId="3" xfId="0" applyFont="1" applyBorder="1" applyAlignment="1">
      <alignment horizontal="right" vertical="center"/>
    </xf>
    <xf numFmtId="49" fontId="25" fillId="0" borderId="3" xfId="0" applyNumberFormat="1" applyFont="1" applyBorder="1" applyAlignment="1">
      <alignment horizontal="center" vertical="center" wrapText="1"/>
    </xf>
    <xf numFmtId="177" fontId="25" fillId="0" borderId="3" xfId="1" applyNumberFormat="1" applyFont="1" applyFill="1" applyBorder="1" applyAlignment="1">
      <alignment horizontal="right" vertical="center" wrapText="1"/>
    </xf>
    <xf numFmtId="177" fontId="25" fillId="0" borderId="3" xfId="1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right" wrapText="1"/>
    </xf>
    <xf numFmtId="0" fontId="29" fillId="0" borderId="0" xfId="0" applyFont="1"/>
    <xf numFmtId="49" fontId="31" fillId="0" borderId="0" xfId="2" applyNumberFormat="1" applyFont="1"/>
    <xf numFmtId="49" fontId="18" fillId="0" borderId="0" xfId="0" applyNumberFormat="1" applyFont="1" applyAlignment="1">
      <alignment wrapText="1"/>
    </xf>
    <xf numFmtId="177" fontId="27" fillId="0" borderId="3" xfId="0" applyNumberFormat="1" applyFont="1" applyBorder="1" applyAlignment="1">
      <alignment horizontal="right" vertical="center"/>
    </xf>
    <xf numFmtId="177" fontId="25" fillId="0" borderId="3" xfId="0" applyNumberFormat="1" applyFont="1" applyBorder="1" applyAlignment="1">
      <alignment horizontal="right" vertical="center"/>
    </xf>
    <xf numFmtId="49" fontId="25" fillId="0" borderId="3" xfId="0" applyNumberFormat="1" applyFont="1" applyBorder="1" applyAlignment="1">
      <alignment horizontal="center"/>
    </xf>
    <xf numFmtId="176" fontId="26" fillId="0" borderId="3" xfId="1" applyNumberFormat="1" applyFont="1" applyBorder="1" applyAlignment="1">
      <alignment horizontal="left"/>
    </xf>
    <xf numFmtId="177" fontId="27" fillId="0" borderId="3" xfId="1" applyNumberFormat="1" applyFont="1" applyBorder="1" applyAlignment="1">
      <alignment horizontal="right"/>
    </xf>
    <xf numFmtId="49" fontId="25" fillId="3" borderId="3" xfId="0" applyNumberFormat="1" applyFont="1" applyFill="1" applyBorder="1" applyAlignment="1">
      <alignment horizontal="center" vertical="center" wrapText="1"/>
    </xf>
    <xf numFmtId="176" fontId="25" fillId="0" borderId="3" xfId="1" applyNumberFormat="1" applyFont="1" applyFill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49" fontId="25" fillId="0" borderId="5" xfId="1" applyNumberFormat="1" applyFont="1" applyFill="1" applyBorder="1" applyAlignment="1">
      <alignment horizontal="left" vertical="center" wrapText="1"/>
    </xf>
    <xf numFmtId="49" fontId="25" fillId="0" borderId="6" xfId="1" applyNumberFormat="1" applyFont="1" applyFill="1" applyBorder="1" applyAlignment="1">
      <alignment horizontal="left" vertical="center" wrapText="1"/>
    </xf>
    <xf numFmtId="49" fontId="25" fillId="0" borderId="3" xfId="1" applyNumberFormat="1" applyFont="1" applyFill="1" applyBorder="1" applyAlignment="1">
      <alignment horizontal="left" vertical="center" wrapText="1"/>
    </xf>
    <xf numFmtId="0" fontId="8" fillId="0" borderId="0" xfId="0" applyFont="1"/>
    <xf numFmtId="0" fontId="28" fillId="0" borderId="0" xfId="0" applyFont="1"/>
    <xf numFmtId="0" fontId="0" fillId="0" borderId="0" xfId="0"/>
    <xf numFmtId="0" fontId="13" fillId="0" borderId="0" xfId="0" applyFont="1"/>
    <xf numFmtId="176" fontId="7" fillId="2" borderId="3" xfId="1" applyNumberFormat="1" applyFont="1" applyFill="1" applyBorder="1" applyAlignment="1">
      <alignment horizontal="left" wrapText="1"/>
    </xf>
    <xf numFmtId="0" fontId="0" fillId="0" borderId="3" xfId="0" applyBorder="1"/>
    <xf numFmtId="0" fontId="20" fillId="0" borderId="0" xfId="0" applyFont="1" applyAlignment="1">
      <alignment wrapText="1"/>
    </xf>
    <xf numFmtId="0" fontId="0" fillId="0" borderId="0" xfId="0" applyAlignment="1">
      <alignment wrapText="1"/>
    </xf>
    <xf numFmtId="0" fontId="29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justify"/>
    </xf>
    <xf numFmtId="49" fontId="25" fillId="0" borderId="3" xfId="1" applyNumberFormat="1" applyFont="1" applyFill="1" applyBorder="1" applyAlignment="1">
      <alignment horizontal="left" wrapText="1"/>
    </xf>
    <xf numFmtId="0" fontId="25" fillId="0" borderId="3" xfId="0" applyFont="1" applyBorder="1"/>
    <xf numFmtId="0" fontId="14" fillId="0" borderId="0" xfId="0" applyFont="1"/>
    <xf numFmtId="0" fontId="14" fillId="0" borderId="0" xfId="0" applyFont="1" applyAlignment="1">
      <alignment horizontal="left"/>
    </xf>
    <xf numFmtId="0" fontId="23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0" fillId="0" borderId="4" xfId="0" applyBorder="1"/>
    <xf numFmtId="177" fontId="27" fillId="0" borderId="3" xfId="0" applyNumberFormat="1" applyFont="1" applyBorder="1" applyAlignment="1">
      <alignment horizontal="right" vertical="center"/>
    </xf>
    <xf numFmtId="177" fontId="27" fillId="0" borderId="3" xfId="0" applyNumberFormat="1" applyFont="1" applyBorder="1" applyAlignment="1">
      <alignment vertical="center"/>
    </xf>
    <xf numFmtId="0" fontId="14" fillId="0" borderId="0" xfId="0" applyFont="1" applyAlignment="1">
      <alignment wrapText="1"/>
    </xf>
    <xf numFmtId="177" fontId="25" fillId="0" borderId="3" xfId="0" applyNumberFormat="1" applyFont="1" applyBorder="1" applyAlignment="1">
      <alignment horizontal="right" vertical="center"/>
    </xf>
    <xf numFmtId="177" fontId="25" fillId="0" borderId="3" xfId="0" applyNumberFormat="1" applyFont="1" applyBorder="1" applyAlignment="1">
      <alignment vertical="center"/>
    </xf>
  </cellXfs>
  <cellStyles count="3">
    <cellStyle name="一般" xfId="0" builtinId="0"/>
    <cellStyle name="千分位" xfId="1" builtinId="3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38100</xdr:rowOff>
    </xdr:from>
    <xdr:to>
      <xdr:col>3</xdr:col>
      <xdr:colOff>2190750</xdr:colOff>
      <xdr:row>5</xdr:row>
      <xdr:rowOff>0</xdr:rowOff>
    </xdr:to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00000000-0008-0000-0000-000001280000}"/>
            </a:ext>
          </a:extLst>
        </xdr:cNvPr>
        <xdr:cNvSpPr txBox="1">
          <a:spLocks noChangeArrowheads="1"/>
        </xdr:cNvSpPr>
      </xdr:nvSpPr>
      <xdr:spPr bwMode="auto">
        <a:xfrm>
          <a:off x="5210175" y="723900"/>
          <a:ext cx="1809750" cy="847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TW" altLang="en-US"/>
        </a:p>
      </xdr:txBody>
    </xdr:sp>
    <xdr:clientData/>
  </xdr:twoCellAnchor>
  <xdr:twoCellAnchor>
    <xdr:from>
      <xdr:col>2</xdr:col>
      <xdr:colOff>47625</xdr:colOff>
      <xdr:row>2</xdr:row>
      <xdr:rowOff>9525</xdr:rowOff>
    </xdr:from>
    <xdr:to>
      <xdr:col>3</xdr:col>
      <xdr:colOff>2876550</xdr:colOff>
      <xdr:row>5</xdr:row>
      <xdr:rowOff>38100</xdr:rowOff>
    </xdr:to>
    <xdr:sp macro="" textlink="">
      <xdr:nvSpPr>
        <xdr:cNvPr id="10242" name="Text Box 2">
          <a:extLst>
            <a:ext uri="{FF2B5EF4-FFF2-40B4-BE49-F238E27FC236}">
              <a16:creationId xmlns:a16="http://schemas.microsoft.com/office/drawing/2014/main" id="{00000000-0008-0000-0000-000002280000}"/>
            </a:ext>
          </a:extLst>
        </xdr:cNvPr>
        <xdr:cNvSpPr txBox="1">
          <a:spLocks noChangeArrowheads="1"/>
        </xdr:cNvSpPr>
      </xdr:nvSpPr>
      <xdr:spPr bwMode="auto">
        <a:xfrm>
          <a:off x="2581275" y="428625"/>
          <a:ext cx="512445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59436" rIns="64008" bIns="0" anchor="t" upright="1"/>
        <a:lstStyle/>
        <a:p>
          <a:pPr algn="ctr" rtl="0">
            <a:defRPr sz="1000"/>
          </a:pPr>
          <a:r>
            <a:rPr lang="zh-TW" altLang="en-US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QUOTATION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452"/>
  <sheetViews>
    <sheetView tabSelected="1" view="pageBreakPreview" zoomScale="70" zoomScaleNormal="75" zoomScaleSheetLayoutView="70" workbookViewId="0">
      <selection activeCell="S36" sqref="S36"/>
    </sheetView>
  </sheetViews>
  <sheetFormatPr defaultColWidth="9" defaultRowHeight="17" x14ac:dyDescent="0.4"/>
  <cols>
    <col min="1" max="1" width="7.36328125" style="5" customWidth="1"/>
    <col min="2" max="2" width="25.90625" style="5" customWidth="1"/>
    <col min="3" max="3" width="30.08984375" style="5" customWidth="1"/>
    <col min="4" max="4" width="48.26953125" style="15" customWidth="1"/>
    <col min="5" max="5" width="21.453125" style="15" customWidth="1"/>
    <col min="6" max="6" width="13" style="5" customWidth="1"/>
    <col min="7" max="7" width="22.90625" style="5" customWidth="1"/>
    <col min="8" max="16384" width="9" style="5"/>
  </cols>
  <sheetData>
    <row r="3" spans="1:7" ht="21.5" x14ac:dyDescent="0.45">
      <c r="A3" s="2"/>
      <c r="B3" s="1"/>
      <c r="C3" s="1"/>
      <c r="D3" s="11"/>
      <c r="E3" s="11"/>
      <c r="F3" s="1"/>
      <c r="G3" s="1"/>
    </row>
    <row r="4" spans="1:7" s="5" customFormat="1" ht="47" ph="1" x14ac:dyDescent="0.75">
      <c r="A4" s="17" t="s" ph="1">
        <v>2</v>
      </c>
      <c r="B4" s="1" ph="1"/>
      <c r="C4" s="1" ph="1"/>
      <c r="D4" s="11" ph="1"/>
      <c r="E4" s="20" t="s" ph="1">
        <v>3</v>
      </c>
      <c r="G4" s="20" ph="1"/>
    </row>
    <row r="5" spans="1:7" ht="21.5" x14ac:dyDescent="0.45">
      <c r="A5" s="2"/>
      <c r="B5" s="1"/>
      <c r="C5" s="1"/>
      <c r="D5" s="11"/>
      <c r="E5" s="1" t="s">
        <v>6</v>
      </c>
      <c r="G5" s="1"/>
    </row>
    <row r="6" spans="1:7" ht="22" thickBot="1" x14ac:dyDescent="0.5">
      <c r="A6" s="2"/>
      <c r="B6" s="6"/>
      <c r="C6" s="6"/>
      <c r="D6" s="13"/>
      <c r="E6" s="1" t="s">
        <v>39</v>
      </c>
      <c r="G6" s="1"/>
    </row>
    <row r="7" spans="1:7" s="4" customFormat="1" ht="32.25" customHeight="1" thickTop="1" ph="1" x14ac:dyDescent="0.6">
      <c r="A7" s="7" ph="1"/>
      <c r="B7" s="28" t="s" ph="1">
        <v>13</v>
      </c>
      <c r="C7" s="58" t="s" ph="1">
        <v>62</v>
      </c>
      <c r="D7" s="59"/>
      <c r="E7" s="27" t="s" ph="1">
        <v>16</v>
      </c>
      <c r="F7" s="50" t="s" ph="1">
        <v>74</v>
      </c>
      <c r="G7" s="50" ph="1"/>
    </row>
    <row r="8" spans="1:7" s="4" customFormat="1" ht="29.25" customHeight="1" ph="1" x14ac:dyDescent="0.6">
      <c r="A8" s="8" ph="1"/>
      <c r="B8" s="29" t="s" ph="1">
        <v>14</v>
      </c>
      <c r="C8" s="56" t="s" ph="1">
        <v>63</v>
      </c>
      <c r="D8" s="57"/>
      <c r="E8" s="27" t="s">
        <v>23</v>
      </c>
      <c r="F8" s="51" t="s">
        <v>27</v>
      </c>
      <c r="G8" s="52"/>
    </row>
    <row r="9" spans="1:7" s="4" customFormat="1" ht="27.5" x14ac:dyDescent="0.6">
      <c r="A9" s="9"/>
      <c r="B9" s="29" t="s">
        <v>15</v>
      </c>
      <c r="C9" s="30" t="s">
        <v>65</v>
      </c>
      <c r="D9" s="14"/>
      <c r="E9" s="27" t="s">
        <v>24</v>
      </c>
      <c r="F9" s="53" t="s">
        <v>25</v>
      </c>
      <c r="G9" s="53"/>
    </row>
    <row r="10" spans="1:7" s="4" customFormat="1" ht="28" customHeight="1" x14ac:dyDescent="0.6">
      <c r="A10" s="9"/>
      <c r="B10" s="29" t="s">
        <v>31</v>
      </c>
      <c r="C10" s="38" t="s">
        <v>64</v>
      </c>
      <c r="D10" s="14"/>
      <c r="E10" s="35" t="s">
        <v>28</v>
      </c>
      <c r="F10" s="53" t="s">
        <v>26</v>
      </c>
      <c r="G10" s="53"/>
    </row>
    <row r="11" spans="1:7" s="4" customFormat="1" ht="27.5" x14ac:dyDescent="0.6">
      <c r="A11" s="9"/>
      <c r="B11" s="29" t="s">
        <v>29</v>
      </c>
      <c r="C11" s="37" t="s">
        <v>66</v>
      </c>
      <c r="D11" s="14"/>
      <c r="E11" s="14"/>
    </row>
    <row r="12" spans="1:7" s="4" customFormat="1" ht="33" customHeight="1" ph="1" x14ac:dyDescent="0.6">
      <c r="A12" s="9" ph="1"/>
      <c r="B12" s="29" t="s">
        <v>30</v>
      </c>
      <c r="C12" s="36" t="s" ph="1">
        <v>69</v>
      </c>
      <c r="D12" s="14" ph="1"/>
      <c r="E12" s="14" ph="1"/>
      <c r="F12" s="9" ph="1"/>
      <c r="G12" s="9" ph="1"/>
    </row>
    <row r="13" spans="1:7" s="4" customFormat="1" ht="27.5" x14ac:dyDescent="0.6">
      <c r="A13" s="9"/>
      <c r="D13" s="14"/>
      <c r="E13" s="14"/>
      <c r="F13" s="9"/>
      <c r="G13" s="16"/>
    </row>
    <row r="14" spans="1:7" ht="33.5" x14ac:dyDescent="0.75">
      <c r="A14" s="18" t="s">
        <v>4</v>
      </c>
      <c r="B14" s="19"/>
      <c r="C14" s="19"/>
      <c r="F14" s="24" t="s">
        <v>8</v>
      </c>
    </row>
    <row r="15" spans="1:7" s="4" customFormat="1" ht="39.75" customHeight="1" x14ac:dyDescent="0.6">
      <c r="A15" s="21" t="s">
        <v>1</v>
      </c>
      <c r="B15" s="22" t="s">
        <v>19</v>
      </c>
      <c r="C15" s="54" t="s">
        <v>5</v>
      </c>
      <c r="D15" s="55"/>
      <c r="E15" s="23" t="s">
        <v>22</v>
      </c>
      <c r="F15" s="22" t="s">
        <v>0</v>
      </c>
      <c r="G15" s="22" t="s">
        <v>18</v>
      </c>
    </row>
    <row r="16" spans="1:7" ht="70" customHeight="1" x14ac:dyDescent="0.4">
      <c r="A16" s="32">
        <v>1</v>
      </c>
      <c r="B16" s="44" t="s">
        <v>44</v>
      </c>
      <c r="C16" s="49" t="s">
        <v>43</v>
      </c>
      <c r="D16" s="49"/>
      <c r="E16" s="33">
        <f>65000*1.6*1.01</f>
        <v>105040</v>
      </c>
      <c r="F16" s="34">
        <v>2</v>
      </c>
      <c r="G16" s="34">
        <f>SUM(E16*F16)</f>
        <v>210080</v>
      </c>
    </row>
    <row r="17" spans="1:7" ht="70" customHeight="1" x14ac:dyDescent="0.4">
      <c r="A17" s="32" t="s">
        <v>33</v>
      </c>
      <c r="B17" s="44" t="s">
        <v>45</v>
      </c>
      <c r="C17" s="47" t="s">
        <v>75</v>
      </c>
      <c r="D17" s="48"/>
      <c r="E17" s="33">
        <f>20000*2*1.01</f>
        <v>40400</v>
      </c>
      <c r="F17" s="34">
        <v>20</v>
      </c>
      <c r="G17" s="34">
        <f t="shared" ref="G17:G23" si="0">SUM(E17*F17)</f>
        <v>808000</v>
      </c>
    </row>
    <row r="18" spans="1:7" ht="98" customHeight="1" x14ac:dyDescent="0.4">
      <c r="A18" s="32" t="s">
        <v>38</v>
      </c>
      <c r="B18" s="44" t="s">
        <v>46</v>
      </c>
      <c r="C18" s="47" t="s">
        <v>49</v>
      </c>
      <c r="D18" s="48"/>
      <c r="E18" s="33">
        <f>340000*1.05*1.01</f>
        <v>360570</v>
      </c>
      <c r="F18" s="34">
        <v>2</v>
      </c>
      <c r="G18" s="34">
        <f t="shared" si="0"/>
        <v>721140</v>
      </c>
    </row>
    <row r="19" spans="1:7" ht="70" customHeight="1" x14ac:dyDescent="0.4">
      <c r="A19" s="32" t="s">
        <v>34</v>
      </c>
      <c r="B19" s="32" t="s">
        <v>51</v>
      </c>
      <c r="C19" s="47" t="s">
        <v>70</v>
      </c>
      <c r="D19" s="48"/>
      <c r="E19" s="33">
        <f>84000*1.02</f>
        <v>85680</v>
      </c>
      <c r="F19" s="34">
        <v>3</v>
      </c>
      <c r="G19" s="34">
        <f t="shared" si="0"/>
        <v>257040</v>
      </c>
    </row>
    <row r="20" spans="1:7" ht="107.5" customHeight="1" x14ac:dyDescent="0.4">
      <c r="A20" s="32" t="s">
        <v>35</v>
      </c>
      <c r="B20" s="32" t="s">
        <v>53</v>
      </c>
      <c r="C20" s="47" t="s">
        <v>76</v>
      </c>
      <c r="D20" s="48"/>
      <c r="E20" s="33">
        <f>20000*1.02</f>
        <v>20400</v>
      </c>
      <c r="F20" s="34">
        <v>7</v>
      </c>
      <c r="G20" s="34">
        <f t="shared" si="0"/>
        <v>142800</v>
      </c>
    </row>
    <row r="21" spans="1:7" ht="124" customHeight="1" x14ac:dyDescent="0.4">
      <c r="A21" s="32" t="s">
        <v>36</v>
      </c>
      <c r="B21" s="44" t="s">
        <v>55</v>
      </c>
      <c r="C21" s="47" t="s">
        <v>77</v>
      </c>
      <c r="D21" s="48"/>
      <c r="E21" s="33">
        <f>(2400+9000+9000)*1.04</f>
        <v>21216</v>
      </c>
      <c r="F21" s="34">
        <v>1</v>
      </c>
      <c r="G21" s="34">
        <f t="shared" si="0"/>
        <v>21216</v>
      </c>
    </row>
    <row r="22" spans="1:7" s="10" customFormat="1" ht="69.5" customHeight="1" x14ac:dyDescent="0.4">
      <c r="A22" s="32" t="s">
        <v>37</v>
      </c>
      <c r="B22" s="44" t="s">
        <v>56</v>
      </c>
      <c r="C22" s="49" t="s">
        <v>47</v>
      </c>
      <c r="D22" s="49"/>
      <c r="E22" s="33">
        <f>18000*1.04</f>
        <v>18720</v>
      </c>
      <c r="F22" s="34">
        <v>1</v>
      </c>
      <c r="G22" s="34">
        <f t="shared" si="0"/>
        <v>18720</v>
      </c>
    </row>
    <row r="23" spans="1:7" s="10" customFormat="1" ht="69.5" customHeight="1" x14ac:dyDescent="0.4">
      <c r="A23" s="32" t="s">
        <v>50</v>
      </c>
      <c r="B23" s="44" t="s">
        <v>40</v>
      </c>
      <c r="C23" s="49" t="s">
        <v>67</v>
      </c>
      <c r="D23" s="49"/>
      <c r="E23" s="33">
        <f>2400*8*1.04</f>
        <v>19968</v>
      </c>
      <c r="F23" s="34">
        <v>2</v>
      </c>
      <c r="G23" s="34">
        <f t="shared" si="0"/>
        <v>39936</v>
      </c>
    </row>
    <row r="24" spans="1:7" s="10" customFormat="1" ht="98.5" customHeight="1" ph="1" x14ac:dyDescent="0.45">
      <c r="A24" s="32" t="s">
        <v>52</v>
      </c>
      <c r="B24" s="44" t="s">
        <v>41</v>
      </c>
      <c r="C24" s="49" t="s">
        <v>68</v>
      </c>
      <c r="D24" s="49"/>
      <c r="E24" s="33" ph="1">
        <f>2400*20*1.03</f>
        <v>49440</v>
      </c>
      <c r="F24" s="34">
        <v>4</v>
      </c>
      <c r="G24" s="34" ph="1">
        <f t="shared" ref="G24" si="1">SUM(E24*F24)</f>
        <v>197760</v>
      </c>
    </row>
    <row r="25" spans="1:7" s="10" customFormat="1" ht="81" customHeight="1" x14ac:dyDescent="0.4">
      <c r="A25" s="32" t="s">
        <v>54</v>
      </c>
      <c r="B25" s="44" t="s">
        <v>48</v>
      </c>
      <c r="C25" s="49" t="s">
        <v>57</v>
      </c>
      <c r="D25" s="49"/>
      <c r="E25" s="33">
        <f>(G16+G17)*18.05%</f>
        <v>183763.44</v>
      </c>
      <c r="F25" s="34">
        <v>4</v>
      </c>
      <c r="G25" s="34">
        <f>SUM(E25*F25)-2</f>
        <v>735051.76</v>
      </c>
    </row>
    <row r="26" spans="1:7" s="10" customFormat="1" ht="81.5" customHeight="1" x14ac:dyDescent="0.4">
      <c r="A26" s="32" t="s">
        <v>60</v>
      </c>
      <c r="B26" s="44" t="s">
        <v>59</v>
      </c>
      <c r="C26" s="49" t="s">
        <v>58</v>
      </c>
      <c r="D26" s="49"/>
      <c r="E26" s="45">
        <f>(G19+G20)*15.0498%</f>
        <v>60175.120319999995</v>
      </c>
      <c r="F26" s="34">
        <v>4</v>
      </c>
      <c r="G26" s="34">
        <f t="shared" ref="G26" si="2">SUM(E26*F26)</f>
        <v>240700.48127999998</v>
      </c>
    </row>
    <row r="27" spans="1:7" s="10" customFormat="1" ht="31.5" customHeight="1" ph="1" x14ac:dyDescent="0.45">
      <c r="A27" s="41"/>
      <c r="B27" s="42"/>
      <c r="C27" s="61"/>
      <c r="D27" s="62"/>
      <c r="E27" s="71" t="s">
        <v>21</v>
      </c>
      <c r="F27" s="72"/>
      <c r="G27" s="43" ph="1">
        <f>SUM(G16:G26)</f>
        <v>3392444.2412799997</v>
      </c>
    </row>
    <row r="28" spans="1:7" s="10" customFormat="1" ht="31.5" customHeight="1" x14ac:dyDescent="0.45">
      <c r="A28" s="31" t="s">
        <v>10</v>
      </c>
      <c r="B28" s="31" t="s">
        <v>11</v>
      </c>
      <c r="C28" s="61" t="s">
        <v>42</v>
      </c>
      <c r="D28" s="62"/>
      <c r="E28" s="68" t="s">
        <v>20</v>
      </c>
      <c r="F28" s="69"/>
      <c r="G28" s="43">
        <f>SUM(G16:G26)</f>
        <v>3392444.2412799997</v>
      </c>
    </row>
    <row r="29" spans="1:7" s="10" customFormat="1" ht="31.5" customHeight="1" ph="1" x14ac:dyDescent="0.45">
      <c r="A29" s="41" ph="1"/>
      <c r="B29" s="31" t="s" ph="1">
        <v>17</v>
      </c>
      <c r="C29" s="61" t="s">
        <v>32</v>
      </c>
      <c r="D29" s="62"/>
      <c r="E29" s="68" ph="1"/>
      <c r="F29" s="69" ph="1"/>
      <c r="G29" s="40"/>
    </row>
    <row r="30" spans="1:7" s="10" customFormat="1" ht="31.5" customHeight="1" x14ac:dyDescent="0.45">
      <c r="A30" s="41"/>
      <c r="B30" s="31"/>
      <c r="C30" s="61"/>
      <c r="D30" s="62"/>
      <c r="E30" s="68"/>
      <c r="F30" s="69"/>
      <c r="G30" s="39" ph="1"/>
    </row>
    <row r="31" spans="1:7" s="2" customFormat="1" ht="28" customHeight="1" x14ac:dyDescent="0.6">
      <c r="A31" s="3"/>
      <c r="B31" s="26" t="s">
        <v>7</v>
      </c>
      <c r="C31" s="63" t="s">
        <v>73</v>
      </c>
      <c r="D31" s="63"/>
      <c r="E31" s="63"/>
      <c r="F31" s="63"/>
      <c r="G31" s="63"/>
    </row>
    <row r="32" spans="1:7" s="2" customFormat="1" ht="28" customHeight="1" x14ac:dyDescent="0.6">
      <c r="A32" s="3"/>
      <c r="B32" s="4"/>
      <c r="C32" s="63" t="s">
        <v>72</v>
      </c>
      <c r="D32" s="63"/>
      <c r="E32" s="17"/>
      <c r="F32" s="17"/>
      <c r="G32" s="17"/>
    </row>
    <row r="33" spans="1:7" s="2" customFormat="1" ht="28" customHeight="1" x14ac:dyDescent="0.6">
      <c r="A33" s="3"/>
      <c r="B33" s="4"/>
      <c r="C33" s="64" t="s" ph="1">
        <v>61</v>
      </c>
      <c r="D33" s="64" ph="1"/>
      <c r="E33" s="64" ph="1"/>
      <c r="F33" s="64" ph="1"/>
      <c r="G33" s="64" ph="1"/>
    </row>
    <row r="34" spans="1:7" s="2" customFormat="1" ht="28" customHeight="1" x14ac:dyDescent="0.6">
      <c r="A34" s="3"/>
      <c r="B34" s="4"/>
      <c r="C34" s="64" t="s" ph="1">
        <v>71</v>
      </c>
      <c r="D34" s="64" ph="1"/>
      <c r="E34" s="64" ph="1"/>
      <c r="F34" s="64" ph="1"/>
      <c r="G34" s="64" ph="1"/>
    </row>
    <row r="35" spans="1:7" ht="58" customHeight="1" x14ac:dyDescent="0.6">
      <c r="A35" s="3"/>
      <c r="B35" s="4"/>
      <c r="C35" s="70" t="s" ph="1">
        <v>78</v>
      </c>
      <c r="D35" s="52"/>
      <c r="E35" s="17" ph="1"/>
      <c r="F35" s="17" ph="1"/>
      <c r="G35" s="17" ph="1"/>
    </row>
    <row r="36" spans="1:7" ht="23.5" customHeight="1" x14ac:dyDescent="0.6">
      <c r="A36" s="3"/>
      <c r="B36" s="4"/>
      <c r="C36" s="46" ph="1"/>
      <c r="D36"/>
      <c r="E36" s="17" ph="1"/>
      <c r="F36" s="17" ph="1"/>
      <c r="G36" s="17" ph="1"/>
    </row>
    <row r="37" spans="1:7" ht="22" thickBot="1" x14ac:dyDescent="0.5">
      <c r="A37" s="12"/>
      <c r="B37" s="65" t="s">
        <v>12</v>
      </c>
      <c r="C37" s="66"/>
      <c r="D37" s="67"/>
      <c r="E37"/>
      <c r="F37"/>
      <c r="G37"/>
    </row>
    <row r="38" spans="1:7" ht="21.5" x14ac:dyDescent="0.45">
      <c r="A38" s="2"/>
      <c r="B38" s="60" t="s">
        <v>9</v>
      </c>
      <c r="C38" s="60"/>
      <c r="D38" s="52"/>
      <c r="E38"/>
      <c r="F38"/>
      <c r="G38"/>
    </row>
    <row r="39" spans="1:7" ht="27.5" x14ac:dyDescent="0.6">
      <c r="A39" s="2"/>
      <c r="B39" s="25"/>
      <c r="C39" s="14"/>
      <c r="D39" s="14"/>
      <c r="E39"/>
      <c r="F39"/>
      <c r="G39"/>
    </row>
    <row r="40" spans="1:7" ht="19.5" x14ac:dyDescent="0.45">
      <c r="A40" s="2"/>
      <c r="B40" s="2"/>
      <c r="C40" s="2"/>
      <c r="D40" s="2"/>
      <c r="E40" s="2"/>
      <c r="F40" s="2"/>
      <c r="G40" s="2"/>
    </row>
    <row r="41" spans="1:7" x14ac:dyDescent="0.4">
      <c r="D41" s="5"/>
      <c r="E41" s="5"/>
    </row>
    <row r="42" spans="1:7" x14ac:dyDescent="0.4">
      <c r="D42" s="5"/>
      <c r="E42" s="5"/>
    </row>
    <row r="43" spans="1:7" x14ac:dyDescent="0.4">
      <c r="D43" s="5"/>
      <c r="E43" s="5"/>
    </row>
    <row r="44" spans="1:7" x14ac:dyDescent="0.4">
      <c r="D44" s="5"/>
      <c r="E44" s="5"/>
    </row>
    <row r="45" spans="1:7" x14ac:dyDescent="0.4">
      <c r="D45" s="5"/>
      <c r="E45" s="5"/>
    </row>
    <row r="46" spans="1:7" x14ac:dyDescent="0.4">
      <c r="D46" s="5"/>
      <c r="E46" s="5"/>
    </row>
    <row r="47" spans="1:7" x14ac:dyDescent="0.4">
      <c r="D47" s="5"/>
      <c r="E47" s="5"/>
    </row>
    <row r="48" spans="1:7" x14ac:dyDescent="0.4">
      <c r="D48" s="5"/>
      <c r="E48" s="5"/>
    </row>
    <row r="49" s="5" customFormat="1" x14ac:dyDescent="0.4"/>
    <row r="50" s="5" customFormat="1" x14ac:dyDescent="0.4"/>
    <row r="51" s="5" customFormat="1" x14ac:dyDescent="0.4"/>
    <row r="52" s="5" customFormat="1" x14ac:dyDescent="0.4"/>
    <row r="53" s="5" customFormat="1" x14ac:dyDescent="0.4"/>
    <row r="54" s="5" customFormat="1" x14ac:dyDescent="0.4"/>
    <row r="55" s="5" customFormat="1" x14ac:dyDescent="0.4"/>
    <row r="56" s="5" customFormat="1" x14ac:dyDescent="0.4"/>
    <row r="57" s="5" customFormat="1" x14ac:dyDescent="0.4"/>
    <row r="58" s="5" customFormat="1" x14ac:dyDescent="0.4"/>
    <row r="59" s="5" customFormat="1" x14ac:dyDescent="0.4"/>
    <row r="60" s="5" customFormat="1" x14ac:dyDescent="0.4"/>
    <row r="61" s="5" customFormat="1" x14ac:dyDescent="0.4"/>
    <row r="62" s="5" customFormat="1" x14ac:dyDescent="0.4"/>
    <row r="63" s="5" customFormat="1" x14ac:dyDescent="0.4"/>
    <row r="64" s="5" customFormat="1" x14ac:dyDescent="0.4"/>
    <row r="65" s="5" customFormat="1" x14ac:dyDescent="0.4"/>
    <row r="66" s="5" customFormat="1" x14ac:dyDescent="0.4"/>
    <row r="67" s="5" customFormat="1" x14ac:dyDescent="0.4"/>
    <row r="68" s="5" customFormat="1" x14ac:dyDescent="0.4"/>
    <row r="69" s="5" customFormat="1" x14ac:dyDescent="0.4"/>
    <row r="70" s="5" customFormat="1" x14ac:dyDescent="0.4"/>
    <row r="71" s="5" customFormat="1" x14ac:dyDescent="0.4"/>
    <row r="72" s="5" customFormat="1" x14ac:dyDescent="0.4"/>
    <row r="73" s="5" customFormat="1" x14ac:dyDescent="0.4"/>
    <row r="74" s="5" customFormat="1" x14ac:dyDescent="0.4"/>
    <row r="75" s="5" customFormat="1" x14ac:dyDescent="0.4"/>
    <row r="76" s="5" customFormat="1" x14ac:dyDescent="0.4"/>
    <row r="77" s="5" customFormat="1" x14ac:dyDescent="0.4"/>
    <row r="78" s="5" customFormat="1" x14ac:dyDescent="0.4"/>
    <row r="79" s="5" customFormat="1" x14ac:dyDescent="0.4"/>
    <row r="80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="5" customFormat="1" x14ac:dyDescent="0.4"/>
    <row r="98" s="5" customFormat="1" x14ac:dyDescent="0.4"/>
    <row r="99" s="5" customFormat="1" x14ac:dyDescent="0.4"/>
    <row r="100" s="5" customFormat="1" x14ac:dyDescent="0.4"/>
    <row r="101" s="5" customFormat="1" x14ac:dyDescent="0.4"/>
    <row r="102" s="5" customFormat="1" x14ac:dyDescent="0.4"/>
    <row r="103" s="5" customFormat="1" x14ac:dyDescent="0.4"/>
    <row r="104" s="5" customFormat="1" x14ac:dyDescent="0.4"/>
    <row r="105" s="5" customFormat="1" x14ac:dyDescent="0.4"/>
    <row r="106" s="5" customFormat="1" x14ac:dyDescent="0.4"/>
    <row r="107" s="5" customFormat="1" x14ac:dyDescent="0.4"/>
    <row r="108" s="5" customFormat="1" x14ac:dyDescent="0.4"/>
    <row r="109" s="5" customFormat="1" x14ac:dyDescent="0.4"/>
    <row r="110" s="5" customFormat="1" x14ac:dyDescent="0.4"/>
    <row r="111" s="5" customFormat="1" x14ac:dyDescent="0.4"/>
    <row r="11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  <row r="268" s="5" customFormat="1" x14ac:dyDescent="0.4"/>
    <row r="269" s="5" customFormat="1" x14ac:dyDescent="0.4"/>
    <row r="270" s="5" customFormat="1" x14ac:dyDescent="0.4"/>
    <row r="271" s="5" customFormat="1" x14ac:dyDescent="0.4"/>
    <row r="272" s="5" customFormat="1" x14ac:dyDescent="0.4"/>
    <row r="273" s="5" customFormat="1" x14ac:dyDescent="0.4"/>
    <row r="274" s="5" customFormat="1" x14ac:dyDescent="0.4"/>
    <row r="275" s="5" customFormat="1" x14ac:dyDescent="0.4"/>
    <row r="276" s="5" customFormat="1" x14ac:dyDescent="0.4"/>
    <row r="277" s="5" customFormat="1" x14ac:dyDescent="0.4"/>
    <row r="278" s="5" customFormat="1" x14ac:dyDescent="0.4"/>
    <row r="279" s="5" customFormat="1" x14ac:dyDescent="0.4"/>
    <row r="280" s="5" customFormat="1" x14ac:dyDescent="0.4"/>
    <row r="281" s="5" customFormat="1" x14ac:dyDescent="0.4"/>
    <row r="282" s="5" customFormat="1" x14ac:dyDescent="0.4"/>
    <row r="283" s="5" customFormat="1" x14ac:dyDescent="0.4"/>
    <row r="284" s="5" customFormat="1" x14ac:dyDescent="0.4"/>
    <row r="285" s="5" customFormat="1" x14ac:dyDescent="0.4"/>
    <row r="286" s="5" customFormat="1" x14ac:dyDescent="0.4"/>
    <row r="287" s="5" customFormat="1" x14ac:dyDescent="0.4"/>
    <row r="288" s="5" customFormat="1" x14ac:dyDescent="0.4"/>
    <row r="289" s="5" customFormat="1" x14ac:dyDescent="0.4"/>
    <row r="290" s="5" customFormat="1" x14ac:dyDescent="0.4"/>
    <row r="291" s="5" customFormat="1" x14ac:dyDescent="0.4"/>
    <row r="292" s="5" customFormat="1" x14ac:dyDescent="0.4"/>
    <row r="293" s="5" customFormat="1" x14ac:dyDescent="0.4"/>
    <row r="294" s="5" customFormat="1" x14ac:dyDescent="0.4"/>
    <row r="295" s="5" customFormat="1" x14ac:dyDescent="0.4"/>
    <row r="296" s="5" customFormat="1" x14ac:dyDescent="0.4"/>
    <row r="297" s="5" customFormat="1" x14ac:dyDescent="0.4"/>
    <row r="298" s="5" customFormat="1" x14ac:dyDescent="0.4"/>
    <row r="299" s="5" customFormat="1" x14ac:dyDescent="0.4"/>
    <row r="300" s="5" customFormat="1" x14ac:dyDescent="0.4"/>
    <row r="301" s="5" customFormat="1" x14ac:dyDescent="0.4"/>
    <row r="302" s="5" customFormat="1" x14ac:dyDescent="0.4"/>
    <row r="303" s="5" customFormat="1" x14ac:dyDescent="0.4"/>
    <row r="304" s="5" customFormat="1" x14ac:dyDescent="0.4"/>
    <row r="305" s="5" customFormat="1" x14ac:dyDescent="0.4"/>
    <row r="306" s="5" customFormat="1" x14ac:dyDescent="0.4"/>
    <row r="307" s="5" customFormat="1" x14ac:dyDescent="0.4"/>
    <row r="308" s="5" customFormat="1" x14ac:dyDescent="0.4"/>
    <row r="309" s="5" customFormat="1" x14ac:dyDescent="0.4"/>
    <row r="310" s="5" customFormat="1" x14ac:dyDescent="0.4"/>
    <row r="311" s="5" customFormat="1" x14ac:dyDescent="0.4"/>
    <row r="312" s="5" customFormat="1" x14ac:dyDescent="0.4"/>
    <row r="313" s="5" customFormat="1" x14ac:dyDescent="0.4"/>
    <row r="314" s="5" customFormat="1" x14ac:dyDescent="0.4"/>
    <row r="315" s="5" customFormat="1" x14ac:dyDescent="0.4"/>
    <row r="316" s="5" customFormat="1" x14ac:dyDescent="0.4"/>
    <row r="317" s="5" customFormat="1" x14ac:dyDescent="0.4"/>
    <row r="318" s="5" customFormat="1" x14ac:dyDescent="0.4"/>
    <row r="319" s="5" customFormat="1" x14ac:dyDescent="0.4"/>
    <row r="320" s="5" customFormat="1" x14ac:dyDescent="0.4"/>
    <row r="321" s="5" customFormat="1" x14ac:dyDescent="0.4"/>
    <row r="322" s="5" customFormat="1" x14ac:dyDescent="0.4"/>
    <row r="323" s="5" customFormat="1" x14ac:dyDescent="0.4"/>
    <row r="324" s="5" customFormat="1" x14ac:dyDescent="0.4"/>
    <row r="325" s="5" customFormat="1" x14ac:dyDescent="0.4"/>
    <row r="326" s="5" customFormat="1" x14ac:dyDescent="0.4"/>
    <row r="327" s="5" customFormat="1" x14ac:dyDescent="0.4"/>
    <row r="328" s="5" customFormat="1" x14ac:dyDescent="0.4"/>
    <row r="329" s="5" customFormat="1" x14ac:dyDescent="0.4"/>
    <row r="330" s="5" customFormat="1" x14ac:dyDescent="0.4"/>
    <row r="331" s="5" customFormat="1" x14ac:dyDescent="0.4"/>
    <row r="332" s="5" customFormat="1" x14ac:dyDescent="0.4"/>
    <row r="333" s="5" customFormat="1" x14ac:dyDescent="0.4"/>
    <row r="334" s="5" customFormat="1" x14ac:dyDescent="0.4"/>
    <row r="335" s="5" customFormat="1" x14ac:dyDescent="0.4"/>
    <row r="336" s="5" customFormat="1" x14ac:dyDescent="0.4"/>
    <row r="337" s="5" customFormat="1" x14ac:dyDescent="0.4"/>
    <row r="338" s="5" customFormat="1" x14ac:dyDescent="0.4"/>
    <row r="339" s="5" customFormat="1" x14ac:dyDescent="0.4"/>
    <row r="340" s="5" customFormat="1" x14ac:dyDescent="0.4"/>
    <row r="341" s="5" customFormat="1" x14ac:dyDescent="0.4"/>
    <row r="342" s="5" customFormat="1" x14ac:dyDescent="0.4"/>
    <row r="343" s="5" customFormat="1" x14ac:dyDescent="0.4"/>
    <row r="344" s="5" customFormat="1" x14ac:dyDescent="0.4"/>
    <row r="345" s="5" customFormat="1" x14ac:dyDescent="0.4"/>
    <row r="346" s="5" customFormat="1" x14ac:dyDescent="0.4"/>
    <row r="347" s="5" customFormat="1" x14ac:dyDescent="0.4"/>
    <row r="348" s="5" customFormat="1" x14ac:dyDescent="0.4"/>
    <row r="349" s="5" customFormat="1" x14ac:dyDescent="0.4"/>
    <row r="350" s="5" customFormat="1" x14ac:dyDescent="0.4"/>
    <row r="351" s="5" customFormat="1" x14ac:dyDescent="0.4"/>
    <row r="352" s="5" customFormat="1" x14ac:dyDescent="0.4"/>
    <row r="353" s="5" customFormat="1" x14ac:dyDescent="0.4"/>
    <row r="354" s="5" customFormat="1" x14ac:dyDescent="0.4"/>
    <row r="355" s="5" customFormat="1" x14ac:dyDescent="0.4"/>
    <row r="356" s="5" customFormat="1" x14ac:dyDescent="0.4"/>
    <row r="357" s="5" customFormat="1" x14ac:dyDescent="0.4"/>
    <row r="358" s="5" customFormat="1" x14ac:dyDescent="0.4"/>
    <row r="359" s="5" customFormat="1" x14ac:dyDescent="0.4"/>
    <row r="360" s="5" customFormat="1" x14ac:dyDescent="0.4"/>
    <row r="361" s="5" customFormat="1" x14ac:dyDescent="0.4"/>
    <row r="362" s="5" customFormat="1" x14ac:dyDescent="0.4"/>
    <row r="363" s="5" customFormat="1" x14ac:dyDescent="0.4"/>
    <row r="364" s="5" customFormat="1" x14ac:dyDescent="0.4"/>
    <row r="365" s="5" customFormat="1" x14ac:dyDescent="0.4"/>
    <row r="366" s="5" customFormat="1" x14ac:dyDescent="0.4"/>
    <row r="367" s="5" customFormat="1" x14ac:dyDescent="0.4"/>
    <row r="368" s="5" customFormat="1" x14ac:dyDescent="0.4"/>
    <row r="369" s="5" customFormat="1" x14ac:dyDescent="0.4"/>
    <row r="370" s="5" customFormat="1" x14ac:dyDescent="0.4"/>
    <row r="371" s="5" customFormat="1" x14ac:dyDescent="0.4"/>
    <row r="372" s="5" customFormat="1" x14ac:dyDescent="0.4"/>
    <row r="373" s="5" customFormat="1" x14ac:dyDescent="0.4"/>
    <row r="374" s="5" customFormat="1" x14ac:dyDescent="0.4"/>
    <row r="375" s="5" customFormat="1" x14ac:dyDescent="0.4"/>
    <row r="376" s="5" customFormat="1" x14ac:dyDescent="0.4"/>
    <row r="377" s="5" customFormat="1" x14ac:dyDescent="0.4"/>
    <row r="378" s="5" customFormat="1" x14ac:dyDescent="0.4"/>
    <row r="379" s="5" customFormat="1" x14ac:dyDescent="0.4"/>
    <row r="380" s="5" customFormat="1" x14ac:dyDescent="0.4"/>
    <row r="381" s="5" customFormat="1" x14ac:dyDescent="0.4"/>
    <row r="382" s="5" customFormat="1" x14ac:dyDescent="0.4"/>
    <row r="383" s="5" customFormat="1" x14ac:dyDescent="0.4"/>
    <row r="384" s="5" customFormat="1" x14ac:dyDescent="0.4"/>
    <row r="385" s="5" customFormat="1" x14ac:dyDescent="0.4"/>
    <row r="386" s="5" customFormat="1" x14ac:dyDescent="0.4"/>
    <row r="387" s="5" customFormat="1" x14ac:dyDescent="0.4"/>
    <row r="388" s="5" customFormat="1" x14ac:dyDescent="0.4"/>
    <row r="389" s="5" customFormat="1" x14ac:dyDescent="0.4"/>
    <row r="390" s="5" customFormat="1" x14ac:dyDescent="0.4"/>
    <row r="391" s="5" customFormat="1" x14ac:dyDescent="0.4"/>
    <row r="392" s="5" customFormat="1" x14ac:dyDescent="0.4"/>
    <row r="393" s="5" customFormat="1" x14ac:dyDescent="0.4"/>
    <row r="394" s="5" customFormat="1" x14ac:dyDescent="0.4"/>
    <row r="395" s="5" customFormat="1" x14ac:dyDescent="0.4"/>
    <row r="396" s="5" customFormat="1" x14ac:dyDescent="0.4"/>
    <row r="397" s="5" customFormat="1" x14ac:dyDescent="0.4"/>
    <row r="398" s="5" customFormat="1" x14ac:dyDescent="0.4"/>
    <row r="399" s="5" customFormat="1" x14ac:dyDescent="0.4"/>
    <row r="400" s="5" customFormat="1" x14ac:dyDescent="0.4"/>
    <row r="401" s="5" customFormat="1" x14ac:dyDescent="0.4"/>
    <row r="402" s="5" customFormat="1" x14ac:dyDescent="0.4"/>
    <row r="403" s="5" customFormat="1" x14ac:dyDescent="0.4"/>
    <row r="404" s="5" customFormat="1" x14ac:dyDescent="0.4"/>
    <row r="405" s="5" customFormat="1" x14ac:dyDescent="0.4"/>
    <row r="406" s="5" customFormat="1" x14ac:dyDescent="0.4"/>
    <row r="407" s="5" customFormat="1" x14ac:dyDescent="0.4"/>
    <row r="408" s="5" customFormat="1" x14ac:dyDescent="0.4"/>
    <row r="409" s="5" customFormat="1" x14ac:dyDescent="0.4"/>
    <row r="410" s="5" customFormat="1" x14ac:dyDescent="0.4"/>
    <row r="411" s="5" customFormat="1" x14ac:dyDescent="0.4"/>
    <row r="412" s="5" customFormat="1" x14ac:dyDescent="0.4"/>
    <row r="413" s="5" customFormat="1" x14ac:dyDescent="0.4"/>
    <row r="414" s="5" customFormat="1" x14ac:dyDescent="0.4"/>
    <row r="415" s="5" customFormat="1" x14ac:dyDescent="0.4"/>
    <row r="416" s="5" customFormat="1" x14ac:dyDescent="0.4"/>
    <row r="417" s="5" customFormat="1" x14ac:dyDescent="0.4"/>
    <row r="418" s="5" customFormat="1" x14ac:dyDescent="0.4"/>
    <row r="419" s="5" customFormat="1" x14ac:dyDescent="0.4"/>
    <row r="420" s="5" customFormat="1" x14ac:dyDescent="0.4"/>
    <row r="421" s="5" customFormat="1" x14ac:dyDescent="0.4"/>
    <row r="422" s="5" customFormat="1" x14ac:dyDescent="0.4"/>
    <row r="423" s="5" customFormat="1" x14ac:dyDescent="0.4"/>
    <row r="424" s="5" customFormat="1" x14ac:dyDescent="0.4"/>
    <row r="425" s="5" customFormat="1" x14ac:dyDescent="0.4"/>
    <row r="426" s="5" customFormat="1" x14ac:dyDescent="0.4"/>
    <row r="427" s="5" customFormat="1" x14ac:dyDescent="0.4"/>
    <row r="428" s="5" customFormat="1" x14ac:dyDescent="0.4"/>
    <row r="429" s="5" customFormat="1" x14ac:dyDescent="0.4"/>
    <row r="430" s="5" customFormat="1" x14ac:dyDescent="0.4"/>
    <row r="431" s="5" customFormat="1" x14ac:dyDescent="0.4"/>
    <row r="432" s="5" customFormat="1" x14ac:dyDescent="0.4"/>
    <row r="433" s="5" customFormat="1" x14ac:dyDescent="0.4"/>
    <row r="434" s="5" customFormat="1" x14ac:dyDescent="0.4"/>
    <row r="435" s="5" customFormat="1" x14ac:dyDescent="0.4"/>
    <row r="436" s="5" customFormat="1" x14ac:dyDescent="0.4"/>
    <row r="437" s="5" customFormat="1" x14ac:dyDescent="0.4"/>
    <row r="438" s="5" customFormat="1" x14ac:dyDescent="0.4"/>
    <row r="439" s="5" customFormat="1" x14ac:dyDescent="0.4"/>
    <row r="440" s="5" customFormat="1" x14ac:dyDescent="0.4"/>
    <row r="441" s="5" customFormat="1" x14ac:dyDescent="0.4"/>
    <row r="442" s="5" customFormat="1" x14ac:dyDescent="0.4"/>
    <row r="443" s="5" customFormat="1" x14ac:dyDescent="0.4"/>
    <row r="444" s="5" customFormat="1" x14ac:dyDescent="0.4"/>
    <row r="445" s="5" customFormat="1" x14ac:dyDescent="0.4"/>
    <row r="446" s="5" customFormat="1" x14ac:dyDescent="0.4"/>
    <row r="447" s="5" customFormat="1" x14ac:dyDescent="0.4"/>
    <row r="448" s="5" customFormat="1" x14ac:dyDescent="0.4"/>
    <row r="449" s="5" customFormat="1" x14ac:dyDescent="0.4"/>
    <row r="450" s="5" customFormat="1" x14ac:dyDescent="0.4"/>
    <row r="451" s="5" customFormat="1" x14ac:dyDescent="0.4"/>
    <row r="452" s="5" customFormat="1" x14ac:dyDescent="0.4"/>
  </sheetData>
  <mergeCells count="33">
    <mergeCell ref="C26:D26"/>
    <mergeCell ref="B38:D38"/>
    <mergeCell ref="C27:D27"/>
    <mergeCell ref="C31:G31"/>
    <mergeCell ref="C33:G33"/>
    <mergeCell ref="B37:D37"/>
    <mergeCell ref="C32:D32"/>
    <mergeCell ref="C34:G34"/>
    <mergeCell ref="C30:D30"/>
    <mergeCell ref="E30:F30"/>
    <mergeCell ref="E28:F28"/>
    <mergeCell ref="E29:F29"/>
    <mergeCell ref="C29:D29"/>
    <mergeCell ref="C35:D35"/>
    <mergeCell ref="C28:D28"/>
    <mergeCell ref="E27:F27"/>
    <mergeCell ref="C16:D16"/>
    <mergeCell ref="F7:G7"/>
    <mergeCell ref="F8:G8"/>
    <mergeCell ref="F10:G10"/>
    <mergeCell ref="F9:G9"/>
    <mergeCell ref="C15:D15"/>
    <mergeCell ref="C8:D8"/>
    <mergeCell ref="C7:D7"/>
    <mergeCell ref="C17:D17"/>
    <mergeCell ref="C18:D18"/>
    <mergeCell ref="C25:D25"/>
    <mergeCell ref="C22:D22"/>
    <mergeCell ref="C24:D24"/>
    <mergeCell ref="C23:D23"/>
    <mergeCell ref="C19:D19"/>
    <mergeCell ref="C21:D21"/>
    <mergeCell ref="C20:D20"/>
  </mergeCells>
  <phoneticPr fontId="3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06BB-430F-45A2-A73A-17DD390C9411}">
  <dimension ref="A1"/>
  <sheetViews>
    <sheetView workbookViewId="0"/>
  </sheetViews>
  <sheetFormatPr defaultRowHeight="17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系統報價</vt:lpstr>
      <vt:lpstr>工作表1</vt:lpstr>
      <vt:lpstr>系統報價!Print_Area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2025-02-13T06:34:00Z</cp:lastPrinted>
  <dcterms:created xsi:type="dcterms:W3CDTF">1999-12-09T02:36:51Z</dcterms:created>
  <dcterms:modified xsi:type="dcterms:W3CDTF">2025-02-24T02:17:17Z</dcterms:modified>
</cp:coreProperties>
</file>