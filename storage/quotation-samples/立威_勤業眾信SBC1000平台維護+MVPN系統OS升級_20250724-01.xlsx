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021EC464-6923-49DF-BAE5-8856EAAC15A1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系統報價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G17" i="7" l="1"/>
  <c r="G19" i="7" l="1"/>
  <c r="G18" i="7"/>
</calcChain>
</file>

<file path=xl/sharedStrings.xml><?xml version="1.0" encoding="utf-8"?>
<sst xmlns="http://schemas.openxmlformats.org/spreadsheetml/2006/main" count="51" uniqueCount="51">
  <si>
    <t>數量</t>
  </si>
  <si>
    <t>項次</t>
    <phoneticPr fontId="3" type="noConversion"/>
  </si>
  <si>
    <t xml:space="preserve">  </t>
    <phoneticPr fontId="3" type="noConversion"/>
  </si>
  <si>
    <t>顯赫資訊股份有限公司</t>
    <phoneticPr fontId="2" type="noConversion"/>
  </si>
  <si>
    <r>
      <t>貴公司所詢問之產品</t>
    </r>
    <r>
      <rPr>
        <b/>
        <sz val="24"/>
        <rFont val="Times New Roman"/>
        <family val="1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Times New Roman"/>
        <family val="1"/>
      </rPr>
      <t>:</t>
    </r>
    <phoneticPr fontId="3" type="noConversion"/>
  </si>
  <si>
    <t>規格</t>
    <phoneticPr fontId="2" type="noConversion"/>
  </si>
  <si>
    <r>
      <t>統一編號：</t>
    </r>
    <r>
      <rPr>
        <sz val="16"/>
        <rFont val="Times New Roman"/>
        <family val="1"/>
      </rPr>
      <t>80426746</t>
    </r>
    <phoneticPr fontId="3" type="noConversion"/>
  </si>
  <si>
    <t>Remark   :</t>
    <phoneticPr fontId="2" type="noConversion"/>
  </si>
  <si>
    <r>
      <t>單位：新台幣</t>
    </r>
    <r>
      <rPr>
        <b/>
        <sz val="20"/>
        <rFont val="Times New Roman"/>
        <family val="1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</si>
  <si>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 xml:space="preserve"> </t>
    <phoneticPr fontId="3" type="noConversion"/>
  </si>
  <si>
    <t>本報價單於取得客戶之同意簽章後，視為正式訂單即刻生效。</t>
    <phoneticPr fontId="23" type="noConversion"/>
  </si>
  <si>
    <t>註：</t>
    <phoneticPr fontId="23" type="noConversion"/>
  </si>
  <si>
    <t>Signature</t>
    <phoneticPr fontId="3" type="noConversion"/>
  </si>
  <si>
    <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</si>
  <si>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r>
      <t>聯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 xml:space="preserve">  :  </t>
    </r>
    <phoneticPr fontId="3" type="noConversion"/>
  </si>
  <si>
    <r>
      <t>聯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</si>
  <si>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 xml:space="preserve">報價日期  :    </t>
    <phoneticPr fontId="2" type="noConversion"/>
  </si>
  <si>
    <t>SUB TOTAL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</si>
  <si>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</si>
  <si>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</si>
  <si>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</si>
  <si>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含稅總計：</t>
    <phoneticPr fontId="3" type="noConversion"/>
  </si>
  <si>
    <t>單價</t>
    <phoneticPr fontId="3" type="noConversion"/>
  </si>
  <si>
    <r>
      <t>聯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 </t>
    </r>
    <phoneticPr fontId="3" type="noConversion"/>
  </si>
  <si>
    <r>
      <t>電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</si>
  <si>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</si>
  <si>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</si>
  <si>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</si>
  <si>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r>
      <t xml:space="preserve">  </t>
    </r>
    <r>
      <rPr>
        <b/>
        <sz val="20"/>
        <rFont val="新細明體"/>
        <family val="1"/>
        <charset val="136"/>
      </rPr>
      <t>傳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Times New Roman"/>
        <family val="1"/>
      </rPr>
      <t xml:space="preserve">   </t>
    </r>
    <r>
      <rPr>
        <b/>
        <sz val="20"/>
        <rFont val="新細明體"/>
        <family val="1"/>
        <charset val="136"/>
      </rPr>
      <t xml:space="preserve"> :    </t>
    </r>
    <phoneticPr fontId="2" type="noConversion"/>
  </si>
  <si>
    <t>E-Mail :</t>
    <phoneticPr fontId="3" type="noConversion"/>
  </si>
  <si>
    <r>
      <t>專案類別</t>
    </r>
    <r>
      <rPr>
        <b/>
        <sz val="20"/>
        <rFont val="Times New Roman"/>
        <family val="1"/>
      </rPr>
      <t xml:space="preserve">  :  </t>
    </r>
    <phoneticPr fontId="3" type="noConversion"/>
  </si>
  <si>
    <r>
      <t>行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動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</si>
  <si>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>地址：新北市中和區建一路166號13樓之3</t>
    <phoneticPr fontId="3" type="noConversion"/>
  </si>
  <si>
    <t>jay@lewaytw.com</t>
    <phoneticPr fontId="3" type="noConversion"/>
  </si>
  <si>
    <t>陳瑞宗 先生</t>
    <phoneticPr fontId="3" type="noConversion"/>
  </si>
  <si>
    <t>立威通信有限公司</t>
    <phoneticPr fontId="3" type="noConversion"/>
  </si>
  <si>
    <t>02-2503-3955</t>
    <phoneticPr fontId="3" type="noConversion"/>
  </si>
  <si>
    <t>0912-471-580</t>
    <phoneticPr fontId="3" type="noConversion"/>
  </si>
  <si>
    <t>即期</t>
    <phoneticPr fontId="3" type="noConversion"/>
  </si>
  <si>
    <t>1</t>
    <phoneticPr fontId="3" type="noConversion"/>
  </si>
  <si>
    <t>勤業 Ribbon
SBC1000 平台維護</t>
    <phoneticPr fontId="3" type="noConversion"/>
  </si>
  <si>
    <t>工作日：
1.遠端查修服務 (上班時間09:00~18:00)2小時上線，4小時內完修 (最多 3 次)
2.維護人員到場 (上班時間09:00~18:00)8小時內到場，12小時內完修 (最多 3 次)</t>
    <phoneticPr fontId="3" type="noConversion"/>
  </si>
  <si>
    <t>2</t>
    <phoneticPr fontId="3" type="noConversion"/>
  </si>
  <si>
    <t>勤業 MVPN 
跨群撥號系統
Red Hat Linux OS 升級改版服務</t>
    <phoneticPr fontId="3" type="noConversion"/>
  </si>
  <si>
    <t xml:space="preserve">跨群撥號系統 Red Hat Linux OS (兩台主機)
維護期間如遇到RedHat OS 版本需要升級或更新修補，提供必要性升級服務。 </t>
    <phoneticPr fontId="3" type="noConversion"/>
  </si>
  <si>
    <t>勤業眾信SBC1000平台維護+MVPN平台OS升級</t>
    <phoneticPr fontId="3" type="noConversion"/>
  </si>
  <si>
    <t>1.報價單有效期限為 即日起三十日內(含假日)有效</t>
    <phoneticPr fontId="2" type="noConversion"/>
  </si>
  <si>
    <t>2.註: 如果需要變更主版本，系統需要重灌OS，相關VoIP的相關套件和程式碼需要改寫。</t>
    <phoneticPr fontId="3" type="noConversion"/>
  </si>
  <si>
    <t>20250724-01</t>
    <phoneticPr fontId="3" type="noConversion"/>
  </si>
  <si>
    <t>維護期間：</t>
    <phoneticPr fontId="3" type="noConversion"/>
  </si>
  <si>
    <t>114/08/01-115/07/31(一年)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</si>
</sst>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b/>
      <sz val="26"/>
      <name val="新細明體"/>
      <family val="1"/>
      <charset val="136"/>
    </font>
    <font>
      <sz val="20"/>
      <name val="Times New Roman"/>
      <family val="1"/>
    </font>
    <font>
      <sz val="16"/>
      <name val="Times New Roman"/>
      <family val="1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細明體"/>
      <family val="3"/>
      <charset val="136"/>
    </font>
    <font>
      <u/>
      <sz val="12"/>
      <color theme="10"/>
      <name val="新細明體"/>
      <family val="1"/>
      <charset val="136"/>
    </font>
    <font>
      <u/>
      <sz val="18"/>
      <color theme="10"/>
      <name val="新細明體"/>
      <family val="1"/>
      <charset val="136"/>
    </font>
    <font>
      <sz val="18"/>
      <name val="細明體"/>
      <family val="3"/>
      <charset val="136"/>
    </font>
    <font>
      <sz val="14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76">
    <xf numFmtId="0" fontId="0" fillId="0" borderId="0" xfId="0"/>
    <xf numFmtId="0" fontId="5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/>
    <xf numFmtId="14" fontId="8" fillId="0" borderId="2" xfId="0" applyNumberFormat="1" applyFont="1" applyBorder="1"/>
    <xf numFmtId="14" fontId="8" fillId="0" borderId="0" xfId="0" applyNumberFormat="1" applyFont="1"/>
    <xf numFmtId="0" fontId="8" fillId="0" borderId="0" xfId="0" applyFont="1"/>
    <xf numFmtId="0" fontId="11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7" fillId="2" borderId="3" xfId="0" applyFont="1" applyFill="1" applyBorder="1" applyAlignment="1">
      <alignment horizontal="center"/>
    </xf>
    <xf numFmtId="176" fontId="7" fillId="2" borderId="3" xfId="1" applyNumberFormat="1" applyFont="1" applyFill="1" applyBorder="1" applyAlignment="1">
      <alignment horizontal="left"/>
    </xf>
    <xf numFmtId="176" fontId="7" fillId="2" borderId="3" xfId="1" applyNumberFormat="1" applyFont="1" applyFill="1" applyBorder="1" applyAlignment="1">
      <alignment horizontal="left" wrapText="1"/>
    </xf>
    <xf numFmtId="49" fontId="21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58" fontId="8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49" fontId="24" fillId="0" borderId="6" xfId="0" applyNumberFormat="1" applyFont="1" applyBorder="1" applyAlignment="1">
      <alignment horizontal="center"/>
    </xf>
    <xf numFmtId="49" fontId="24" fillId="0" borderId="7" xfId="0" applyNumberFormat="1" applyFont="1" applyBorder="1" applyAlignment="1">
      <alignment horizontal="center"/>
    </xf>
    <xf numFmtId="0" fontId="24" fillId="0" borderId="8" xfId="0" applyFont="1" applyBorder="1" applyAlignment="1">
      <alignment horizontal="right" vertical="center"/>
    </xf>
    <xf numFmtId="0" fontId="24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49" fontId="24" fillId="0" borderId="3" xfId="0" applyNumberFormat="1" applyFont="1" applyBorder="1" applyAlignment="1">
      <alignment horizontal="center" vertical="center" wrapText="1"/>
    </xf>
    <xf numFmtId="177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wrapText="1"/>
    </xf>
    <xf numFmtId="49" fontId="30" fillId="0" borderId="0" xfId="2" applyNumberFormat="1" applyFont="1"/>
    <xf numFmtId="49" fontId="18" fillId="0" borderId="0" xfId="0" applyNumberFormat="1" applyFont="1" applyAlignment="1">
      <alignment wrapText="1"/>
    </xf>
    <xf numFmtId="177" fontId="26" fillId="0" borderId="3" xfId="0" applyNumberFormat="1" applyFont="1" applyBorder="1" applyAlignment="1">
      <alignment horizontal="right" vertical="center"/>
    </xf>
    <xf numFmtId="177" fontId="24" fillId="0" borderId="3" xfId="0" applyNumberFormat="1" applyFont="1" applyBorder="1" applyAlignment="1">
      <alignment horizontal="right" vertical="center"/>
    </xf>
    <xf numFmtId="177" fontId="26" fillId="0" borderId="3" xfId="1" applyNumberFormat="1" applyFont="1" applyBorder="1" applyAlignment="1">
      <alignment horizontal="right"/>
    </xf>
    <xf numFmtId="176" fontId="25" fillId="0" borderId="3" xfId="1" applyNumberFormat="1" applyFont="1" applyBorder="1" applyAlignment="1">
      <alignment horizontal="left"/>
    </xf>
    <xf numFmtId="49" fontId="24" fillId="0" borderId="3" xfId="0" applyNumberFormat="1" applyFont="1" applyBorder="1" applyAlignment="1">
      <alignment horizontal="center"/>
    </xf>
    <xf numFmtId="0" fontId="31" fillId="0" borderId="0" xfId="0" applyFont="1"/>
    <xf numFmtId="0" fontId="32" fillId="0" borderId="0" xfId="0" applyFont="1"/>
    <xf numFmtId="0" fontId="20" fillId="0" borderId="0" xfId="0" applyFont="1" applyAlignment="1">
      <alignment wrapText="1"/>
    </xf>
    <xf numFmtId="0" fontId="5" fillId="0" borderId="0" xfId="0" applyFont="1" applyAlignment="1">
      <alignment horizontal="justify"/>
    </xf>
    <xf numFmtId="0" fontId="0" fillId="0" borderId="0" xfId="0"/>
    <xf numFmtId="0" fontId="14" fillId="0" borderId="0" xfId="0" applyFont="1" applyAlignment="1">
      <alignment horizontal="left"/>
    </xf>
    <xf numFmtId="0" fontId="14" fillId="0" borderId="0" xfId="0" applyFont="1"/>
    <xf numFmtId="49" fontId="24" fillId="0" borderId="0" xfId="1" applyNumberFormat="1" applyFont="1" applyFill="1" applyBorder="1" applyAlignment="1">
      <alignment horizontal="left" wrapText="1"/>
    </xf>
    <xf numFmtId="0" fontId="24" fillId="0" borderId="0" xfId="0" applyFont="1"/>
    <xf numFmtId="0" fontId="32" fillId="0" borderId="0" xfId="0" applyFont="1"/>
    <xf numFmtId="0" fontId="22" fillId="0" borderId="1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10" xfId="0" applyBorder="1"/>
    <xf numFmtId="0" fontId="32" fillId="0" borderId="0" xfId="0" applyFont="1" applyAlignment="1">
      <alignment wrapText="1"/>
    </xf>
    <xf numFmtId="49" fontId="24" fillId="0" borderId="3" xfId="1" applyNumberFormat="1" applyFont="1" applyFill="1" applyBorder="1" applyAlignment="1">
      <alignment horizontal="left" wrapText="1"/>
    </xf>
    <xf numFmtId="0" fontId="24" fillId="0" borderId="3" xfId="0" applyFont="1" applyBorder="1"/>
    <xf numFmtId="177" fontId="26" fillId="0" borderId="3" xfId="0" applyNumberFormat="1" applyFont="1" applyBorder="1" applyAlignment="1">
      <alignment horizontal="right" vertical="center"/>
    </xf>
    <xf numFmtId="177" fontId="26" fillId="0" borderId="3" xfId="0" applyNumberFormat="1" applyFont="1" applyBorder="1" applyAlignment="1">
      <alignment vertical="center"/>
    </xf>
    <xf numFmtId="176" fontId="7" fillId="2" borderId="3" xfId="1" applyNumberFormat="1" applyFont="1" applyFill="1" applyBorder="1" applyAlignment="1">
      <alignment horizontal="left" wrapText="1"/>
    </xf>
    <xf numFmtId="0" fontId="0" fillId="0" borderId="3" xfId="0" applyBorder="1"/>
    <xf numFmtId="0" fontId="0" fillId="0" borderId="0" xfId="0" applyAlignment="1">
      <alignment wrapText="1"/>
    </xf>
    <xf numFmtId="0" fontId="28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177" fontId="26" fillId="0" borderId="5" xfId="1" applyNumberFormat="1" applyFont="1" applyFill="1" applyBorder="1" applyAlignment="1">
      <alignment horizontal="right" wrapText="1"/>
    </xf>
    <xf numFmtId="177" fontId="24" fillId="0" borderId="9" xfId="0" applyNumberFormat="1" applyFont="1" applyBorder="1"/>
    <xf numFmtId="0" fontId="8" fillId="0" borderId="0" xfId="0" applyFont="1"/>
    <xf numFmtId="0" fontId="27" fillId="0" borderId="0" xfId="0" applyFont="1"/>
    <xf numFmtId="0" fontId="13" fillId="0" borderId="0" xfId="0" applyFont="1"/>
    <xf numFmtId="49" fontId="24" fillId="0" borderId="4" xfId="1" applyNumberFormat="1" applyFont="1" applyFill="1" applyBorder="1" applyAlignment="1">
      <alignment horizontal="left" vertical="center" wrapText="1"/>
    </xf>
    <xf numFmtId="49" fontId="24" fillId="0" borderId="11" xfId="1" applyNumberFormat="1" applyFont="1" applyFill="1" applyBorder="1" applyAlignment="1">
      <alignment horizontal="left" vertical="center" wrapText="1"/>
    </xf>
  </cellXfs>
  <cellStyles count="3">
    <cellStyle name="一般" xfId="0" builtinId="0"/>
    <cellStyle name="千分位" xfId="1" builtinId="3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G451"/>
  <sheetViews>
    <sheetView tabSelected="1" topLeftCell="A8" zoomScale="75" zoomScaleNormal="75" zoomScaleSheetLayoutView="65" workbookViewId="0">
      <selection activeCell="C30" sqref="C30:G30"/>
    </sheetView>
  </sheetViews>
  <sheetFormatPr defaultColWidth="9" defaultRowHeight="16.5" x14ac:dyDescent="0.25"/>
  <cols>
    <col min="1" max="1" width="9.5" style="5" customWidth="1"/>
    <col min="2" max="2" width="27.5" style="5" customWidth="1"/>
    <col min="3" max="3" width="30.125" style="5" customWidth="1"/>
    <col min="4" max="4" width="54.875" style="15" customWidth="1"/>
    <col min="5" max="5" width="21.5" style="15" customWidth="1"/>
    <col min="6" max="7" width="19.625" style="5" customWidth="1"/>
    <col min="8" max="16384" width="9" style="5"/>
  </cols>
  <sheetData>
    <row r="3" spans="1:7" ht="27" x14ac:dyDescent="0.3">
      <c r="A3" s="2"/>
      <c r="B3" s="1"/>
      <c r="C3" s="1"/>
      <c r="D3" s="11"/>
      <c r="E3" s="11"/>
      <c r="F3" s="5" ph="1"/>
      <c r="G3" s="1"/>
    </row>
    <row r="4" spans="1:7" s="5" customFormat="1" ht="48.75" ph="1" x14ac:dyDescent="0.55000000000000004">
      <c r="A4" s="17" t="s" ph="1">
        <v>2</v>
      </c>
      <c r="B4" s="1" ph="1"/>
      <c r="C4" s="1" ph="1"/>
      <c r="D4" s="11" ph="1"/>
      <c r="E4" s="20" t="s" ph="1">
        <v>3</v>
      </c>
      <c r="F4" s="5"/>
      <c r="G4" s="20" ph="1"/>
    </row>
    <row r="5" spans="1:7" ht="21" x14ac:dyDescent="0.3">
      <c r="A5" s="2"/>
      <c r="B5" s="1"/>
      <c r="C5" s="1"/>
      <c r="D5" s="11"/>
      <c r="E5" s="1" t="s">
        <v>6</v>
      </c>
      <c r="G5" s="1"/>
    </row>
    <row r="6" spans="1:7" ht="21.75" thickBot="1" x14ac:dyDescent="0.35">
      <c r="A6" s="2"/>
      <c r="B6" s="6"/>
      <c r="C6" s="6"/>
      <c r="D6" s="13"/>
      <c r="E6" s="1" t="s">
        <v>32</v>
      </c>
      <c r="G6" s="1"/>
    </row>
    <row r="7" spans="1:7" s="4" customFormat="1" ht="32.25" customHeight="1" thickTop="1" ph="1" x14ac:dyDescent="0.4">
      <c r="A7" s="7" ph="1"/>
      <c r="B7" s="28" t="s" ph="1">
        <v>13</v>
      </c>
      <c r="C7" s="67" t="s" ph="1">
        <v>35</v>
      </c>
      <c r="D7" s="68"/>
      <c r="E7" s="27" t="s" ph="1">
        <v>16</v>
      </c>
      <c r="F7" s="71" t="s" ph="1">
        <v>48</v>
      </c>
      <c r="G7" s="71" ph="1"/>
    </row>
    <row r="8" spans="1:7" s="4" customFormat="1" ht="29.25" customHeight="1" ph="1" x14ac:dyDescent="0.4">
      <c r="A8" s="8" ph="1"/>
      <c r="B8" s="29" t="s" ph="1">
        <v>14</v>
      </c>
      <c r="C8" s="48" t="s" ph="1">
        <v>34</v>
      </c>
      <c r="D8" s="66"/>
      <c r="E8" s="27" t="s">
        <v>23</v>
      </c>
      <c r="F8" s="72" t="s">
        <v>27</v>
      </c>
      <c r="G8" s="50"/>
    </row>
    <row r="9" spans="1:7" s="4" customFormat="1" ht="27.75" x14ac:dyDescent="0.4">
      <c r="A9" s="9"/>
      <c r="B9" s="29" t="s">
        <v>15</v>
      </c>
      <c r="C9" s="40" t="s">
        <v>36</v>
      </c>
      <c r="D9" s="14"/>
      <c r="E9" s="27" t="s">
        <v>24</v>
      </c>
      <c r="F9" s="73" t="s">
        <v>25</v>
      </c>
      <c r="G9" s="73"/>
    </row>
    <row r="10" spans="1:7" s="4" customFormat="1" ht="27" customHeight="1" x14ac:dyDescent="0.4">
      <c r="A10" s="9"/>
      <c r="B10" s="29" t="s">
        <v>31</v>
      </c>
      <c r="C10" s="40" t="s">
        <v>37</v>
      </c>
      <c r="D10" s="14"/>
      <c r="E10" s="38" t="s">
        <v>28</v>
      </c>
      <c r="F10" s="73" t="s">
        <v>26</v>
      </c>
      <c r="G10" s="73"/>
    </row>
    <row r="11" spans="1:7" s="4" customFormat="1" ht="27.75" x14ac:dyDescent="0.4">
      <c r="A11" s="9"/>
      <c r="B11" s="29" t="s">
        <v>29</v>
      </c>
      <c r="C11" s="39" t="s">
        <v>33</v>
      </c>
      <c r="D11" s="14"/>
      <c r="E11" s="14"/>
    </row>
    <row r="12" spans="1:7" s="4" customFormat="1" ht="33" customHeight="1" ph="1" x14ac:dyDescent="0.4">
      <c r="A12" s="9" ph="1"/>
      <c r="B12" s="29" t="s">
        <v>30</v>
      </c>
      <c r="C12" s="46" t="s" ph="1">
        <v>45</v>
      </c>
      <c r="D12" s="14" ph="1"/>
      <c r="E12" s="14" ph="1"/>
      <c r="F12" s="9" ph="1"/>
      <c r="G12" s="9" ph="1"/>
    </row>
    <row r="13" spans="1:7" s="4" customFormat="1" ht="27.75" x14ac:dyDescent="0.4">
      <c r="A13" s="9"/>
      <c r="D13" s="14"/>
      <c r="E13" s="14"/>
      <c r="F13" s="9"/>
      <c r="G13" s="16"/>
    </row>
    <row r="14" spans="1:7" ht="32.25" x14ac:dyDescent="0.45">
      <c r="A14" s="18" t="s">
        <v>4</v>
      </c>
      <c r="B14" s="19"/>
      <c r="C14" s="19"/>
      <c r="F14" s="24" t="s">
        <v>8</v>
      </c>
    </row>
    <row r="15" spans="1:7" s="4" customFormat="1" ht="39.75" customHeight="1" x14ac:dyDescent="0.4">
      <c r="A15" s="21" t="s">
        <v>1</v>
      </c>
      <c r="B15" s="22" t="s">
        <v>20</v>
      </c>
      <c r="C15" s="64" t="s">
        <v>5</v>
      </c>
      <c r="D15" s="65"/>
      <c r="E15" s="23" t="s">
        <v>22</v>
      </c>
      <c r="F15" s="22" t="s">
        <v>0</v>
      </c>
      <c r="G15" s="22" t="s">
        <v>19</v>
      </c>
    </row>
    <row r="16" spans="1:7" ht="116.25" customHeight="1" x14ac:dyDescent="0.25">
      <c r="A16" s="35" t="s">
        <v>39</v>
      </c>
      <c r="B16" s="35" t="s">
        <v>40</v>
      </c>
      <c r="C16" s="74" t="s">
        <v>41</v>
      </c>
      <c r="D16" s="75"/>
      <c r="E16" s="36">
        <v>6250</v>
      </c>
      <c r="F16" s="37">
        <v>12</v>
      </c>
      <c r="G16" s="37">
        <f>SUM(E16*F16)</f>
        <v>75000</v>
      </c>
    </row>
    <row r="17" spans="1:7" ht="102.95" customHeight="1" x14ac:dyDescent="0.25">
      <c r="A17" s="35" t="s">
        <v>42</v>
      </c>
      <c r="B17" s="35" t="s">
        <v>43</v>
      </c>
      <c r="C17" s="74" t="s">
        <v>44</v>
      </c>
      <c r="D17" s="75"/>
      <c r="E17" s="36">
        <v>60000</v>
      </c>
      <c r="F17" s="37">
        <v>1</v>
      </c>
      <c r="G17" s="37">
        <f>SUM(E17*F17)</f>
        <v>60000</v>
      </c>
    </row>
    <row r="18" spans="1:7" ht="27.75" customHeight="1" x14ac:dyDescent="0.35">
      <c r="A18" s="45"/>
      <c r="B18" s="44"/>
      <c r="C18" s="53"/>
      <c r="D18" s="54"/>
      <c r="E18" s="69" t="s">
        <v>17</v>
      </c>
      <c r="F18" s="70"/>
      <c r="G18" s="43">
        <f>SUM(G16:G17)</f>
        <v>135000</v>
      </c>
    </row>
    <row r="19" spans="1:7" ht="27.75" customHeight="1" x14ac:dyDescent="0.35">
      <c r="A19" s="32" t="s">
        <v>11</v>
      </c>
      <c r="B19" s="33" t="s">
        <v>49</v>
      </c>
      <c r="C19" s="60" t="s">
        <v>50</v>
      </c>
      <c r="D19" s="61"/>
      <c r="E19" s="62" t="s">
        <v>21</v>
      </c>
      <c r="F19" s="63"/>
      <c r="G19" s="43">
        <f>SUM(G16:G17)</f>
        <v>135000</v>
      </c>
    </row>
    <row r="20" spans="1:7" ht="27.75" customHeight="1" x14ac:dyDescent="0.35">
      <c r="A20" s="30" ph="1"/>
      <c r="B20" s="33" t="s" ph="1">
        <v>18</v>
      </c>
      <c r="C20" s="60" t="s">
        <v>38</v>
      </c>
      <c r="D20" s="61"/>
      <c r="E20" s="62" ph="1"/>
      <c r="F20" s="63" ph="1"/>
      <c r="G20" s="42"/>
    </row>
    <row r="21" spans="1:7" ht="27.75" customHeight="1" x14ac:dyDescent="0.35">
      <c r="A21" s="31"/>
      <c r="B21" s="33"/>
      <c r="C21" s="60"/>
      <c r="D21" s="61"/>
      <c r="E21" s="62"/>
      <c r="F21" s="63"/>
      <c r="G21" s="41"/>
    </row>
    <row r="22" spans="1:7" ht="27.75" customHeight="1" x14ac:dyDescent="0.4">
      <c r="A22" s="3"/>
      <c r="B22" s="26" t="s">
        <v>7</v>
      </c>
      <c r="C22" s="55" t="s">
        <v>46</v>
      </c>
      <c r="D22" s="55"/>
      <c r="E22" s="55"/>
      <c r="F22" s="55"/>
      <c r="G22" s="55"/>
    </row>
    <row r="23" spans="1:7" ht="40.5" customHeight="1" x14ac:dyDescent="0.4">
      <c r="A23" s="3"/>
      <c r="B23" s="4"/>
      <c r="C23" s="59" t="s">
        <v>47</v>
      </c>
      <c r="D23" s="59"/>
      <c r="E23" s="47"/>
      <c r="F23" s="47"/>
      <c r="G23" s="47"/>
    </row>
    <row r="24" spans="1:7" s="10" customFormat="1" ht="29.25" customHeight="1" x14ac:dyDescent="0.4">
      <c r="A24" s="3"/>
      <c r="B24" s="4"/>
      <c r="C24" s="51" ph="1"/>
      <c r="D24" s="51" ph="1"/>
      <c r="E24" s="51" ph="1"/>
      <c r="F24" s="51" ph="1"/>
      <c r="G24" s="51" ph="1"/>
    </row>
    <row r="25" spans="1:7" s="10" customFormat="1" ht="26.25" customHeight="1" x14ac:dyDescent="0.4">
      <c r="A25" s="3"/>
      <c r="B25" s="4"/>
      <c r="C25" s="51" ph="1"/>
      <c r="D25" s="51" ph="1"/>
      <c r="E25" s="34" ph="1"/>
      <c r="F25" s="34" ph="1"/>
      <c r="G25" s="34" ph="1"/>
    </row>
    <row r="26" spans="1:7" s="10" customFormat="1" ht="26.25" customHeight="1" ph="1" x14ac:dyDescent="0.4">
      <c r="A26" s="3" ph="1"/>
      <c r="B26" s="4" ph="1"/>
      <c r="C26" s="51" ph="1"/>
      <c r="D26" s="51" ph="1"/>
      <c r="E26" s="10"/>
      <c r="F26" s="10"/>
      <c r="G26" s="10"/>
    </row>
    <row r="27" spans="1:7" s="10" customFormat="1" ht="22.5" customHeight="1" x14ac:dyDescent="0.4">
      <c r="A27" s="3"/>
      <c r="B27" s="4" t="s">
        <v>9</v>
      </c>
      <c r="C27" s="51" ph="1"/>
      <c r="D27" s="51" ph="1"/>
      <c r="E27" s="51" ph="1"/>
      <c r="F27" s="51" ph="1"/>
      <c r="G27" s="51" ph="1"/>
    </row>
    <row r="28" spans="1:7" s="10" customFormat="1" ht="31.5" customHeight="1" x14ac:dyDescent="0.4">
      <c r="A28" s="3" ph="1"/>
      <c r="B28" s="4" ph="1"/>
      <c r="C28" s="51" ph="1"/>
      <c r="D28" s="51" ph="1"/>
      <c r="E28" s="51" ph="1"/>
      <c r="F28" s="51" ph="1"/>
      <c r="G28" s="51" ph="1"/>
    </row>
    <row r="29" spans="1:7" s="10" customFormat="1" ht="31.5" customHeight="1" x14ac:dyDescent="0.4">
      <c r="A29" s="3"/>
      <c r="B29" s="4"/>
      <c r="C29" s="51" ph="1"/>
      <c r="D29" s="51" ph="1"/>
      <c r="E29" s="51" ph="1"/>
      <c r="F29" s="51" ph="1"/>
      <c r="G29" s="51" ph="1"/>
    </row>
    <row r="30" spans="1:7" s="10" customFormat="1" ht="31.5" customHeight="1" x14ac:dyDescent="0.4">
      <c r="A30" s="3"/>
      <c r="B30" s="4"/>
      <c r="C30" s="51" ph="1"/>
      <c r="D30" s="51" ph="1"/>
      <c r="E30" s="51" ph="1"/>
      <c r="F30" s="51" ph="1"/>
      <c r="G30" s="51" ph="1"/>
    </row>
    <row r="31" spans="1:7" s="10" customFormat="1" ht="31.5" customHeight="1" x14ac:dyDescent="0.4">
      <c r="A31" s="3"/>
      <c r="B31" s="4"/>
      <c r="C31" s="52" ph="1"/>
      <c r="D31" s="52" ph="1"/>
      <c r="E31" s="52" ph="1"/>
      <c r="F31" s="52" ph="1"/>
      <c r="G31" s="52" ph="1"/>
    </row>
    <row r="32" spans="1:7" s="10" customFormat="1" ht="31.5" customHeight="1" x14ac:dyDescent="0.4">
      <c r="A32" s="3"/>
      <c r="B32" s="4"/>
      <c r="C32" s="52" ph="1"/>
      <c r="D32" s="52" ph="1"/>
      <c r="E32" s="52" ph="1"/>
      <c r="F32" s="52" ph="1"/>
      <c r="G32" s="52" ph="1"/>
    </row>
    <row r="33" spans="1:7" s="10" customFormat="1" ht="31.5" customHeight="1" x14ac:dyDescent="0.4">
      <c r="A33" s="3"/>
      <c r="B33" s="4"/>
      <c r="C33" s="52" ph="1"/>
      <c r="D33" s="52" ph="1"/>
      <c r="E33" s="52" ph="1"/>
      <c r="F33" s="52" ph="1"/>
      <c r="G33" s="52" ph="1"/>
    </row>
    <row r="34" spans="1:7" s="10" customFormat="1" ht="31.5" customHeight="1" thickBot="1" ph="1" x14ac:dyDescent="0.35">
      <c r="A34" s="12"/>
      <c r="B34" s="56" t="s">
        <v>12</v>
      </c>
      <c r="C34" s="57"/>
      <c r="D34" s="58"/>
      <c r="E34"/>
      <c r="F34"/>
      <c r="G34"/>
    </row>
    <row r="35" spans="1:7" s="10" customFormat="1" ht="31.5" customHeight="1" x14ac:dyDescent="0.3">
      <c r="A35" s="2"/>
      <c r="B35" s="49" t="s">
        <v>10</v>
      </c>
      <c r="C35" s="49"/>
      <c r="D35" s="50"/>
      <c r="E35"/>
      <c r="F35"/>
      <c r="G35"/>
    </row>
    <row r="36" spans="1:7" s="10" customFormat="1" ht="31.5" customHeight="1" ph="1" x14ac:dyDescent="0.4">
      <c r="A36" s="2"/>
      <c r="B36" s="25"/>
      <c r="C36" s="14"/>
      <c r="D36" s="14"/>
      <c r="E36"/>
      <c r="F36"/>
      <c r="G36"/>
    </row>
    <row r="37" spans="1:7" s="10" customFormat="1" ht="31.5" customHeight="1" x14ac:dyDescent="0.4">
      <c r="A37" s="2"/>
      <c r="B37" s="48"/>
      <c r="C37" s="48"/>
      <c r="D37" s="48"/>
      <c r="E37" s="48"/>
      <c r="F37" s="48"/>
      <c r="G37" s="48"/>
    </row>
    <row r="38" spans="1:7" s="2" customFormat="1" ht="27.75" customHeight="1" x14ac:dyDescent="0.3">
      <c r="A38" s="2" ph="1"/>
      <c r="B38" s="2" ph="1"/>
      <c r="C38" s="2" ph="1"/>
      <c r="D38" s="2" ph="1"/>
      <c r="E38" s="2" ph="1"/>
      <c r="F38" s="2" ph="1"/>
      <c r="G38" s="2" ph="1"/>
    </row>
    <row r="39" spans="1:7" s="2" customFormat="1" ht="33" customHeight="1" x14ac:dyDescent="0.3"/>
    <row r="40" spans="1:7" s="2" customFormat="1" ht="33" customHeight="1" x14ac:dyDescent="0.3">
      <c r="A40" s="5"/>
      <c r="B40" s="5"/>
      <c r="C40" s="5"/>
      <c r="D40" s="5"/>
      <c r="E40" s="5"/>
      <c r="F40" s="5"/>
      <c r="G40" s="5"/>
    </row>
    <row r="41" spans="1:7" s="2" customFormat="1" ht="47.25" customHeight="1" x14ac:dyDescent="0.3">
      <c r="A41" s="5"/>
      <c r="B41" s="5"/>
      <c r="C41" s="5"/>
      <c r="D41" s="5"/>
      <c r="E41" s="5"/>
      <c r="F41" s="5"/>
      <c r="G41" s="5"/>
    </row>
    <row r="42" spans="1:7" s="2" customFormat="1" ht="45" customHeight="1" ph="1" x14ac:dyDescent="0.3">
      <c r="A42" s="5"/>
      <c r="B42" s="5"/>
      <c r="C42" s="5"/>
      <c r="D42" s="5"/>
      <c r="E42" s="5"/>
      <c r="F42" s="5"/>
      <c r="G42" s="5"/>
    </row>
    <row r="43" spans="1:7" s="2" customFormat="1" ht="19.5" x14ac:dyDescent="0.3">
      <c r="A43" s="5"/>
      <c r="B43" s="5"/>
      <c r="C43" s="5"/>
      <c r="D43" s="5"/>
      <c r="E43" s="5"/>
      <c r="F43" s="5"/>
      <c r="G43" s="5"/>
    </row>
    <row r="44" spans="1:7" x14ac:dyDescent="0.25">
      <c r="D44" s="5"/>
      <c r="E44" s="5"/>
    </row>
    <row r="45" spans="1:7" x14ac:dyDescent="0.25">
      <c r="D45" s="5"/>
      <c r="E45" s="5"/>
    </row>
    <row r="46" spans="1:7" x14ac:dyDescent="0.25">
      <c r="D46" s="5"/>
      <c r="E46" s="5"/>
    </row>
    <row r="47" spans="1:7" x14ac:dyDescent="0.25">
      <c r="D47" s="5"/>
      <c r="E47" s="5"/>
    </row>
    <row r="48" spans="1:7" x14ac:dyDescent="0.25">
      <c r="D48" s="5"/>
      <c r="E48" s="5"/>
    </row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</sheetData>
  <mergeCells count="32">
    <mergeCell ref="C15:D15"/>
    <mergeCell ref="C8:D8"/>
    <mergeCell ref="C7:D7"/>
    <mergeCell ref="E18:F18"/>
    <mergeCell ref="F7:G7"/>
    <mergeCell ref="F8:G8"/>
    <mergeCell ref="F10:G10"/>
    <mergeCell ref="F9:G9"/>
    <mergeCell ref="C17:D17"/>
    <mergeCell ref="C16:D16"/>
    <mergeCell ref="C21:D21"/>
    <mergeCell ref="E21:F21"/>
    <mergeCell ref="E19:F19"/>
    <mergeCell ref="E20:F20"/>
    <mergeCell ref="C19:D19"/>
    <mergeCell ref="C20:D20"/>
    <mergeCell ref="B37:G37"/>
    <mergeCell ref="B35:D35"/>
    <mergeCell ref="C28:G28"/>
    <mergeCell ref="C33:G33"/>
    <mergeCell ref="C18:D18"/>
    <mergeCell ref="C22:G22"/>
    <mergeCell ref="C24:G24"/>
    <mergeCell ref="C29:G29"/>
    <mergeCell ref="B34:D34"/>
    <mergeCell ref="C27:G27"/>
    <mergeCell ref="C23:D23"/>
    <mergeCell ref="C30:G30"/>
    <mergeCell ref="C31:G31"/>
    <mergeCell ref="C26:D26"/>
    <mergeCell ref="C25:D25"/>
    <mergeCell ref="C32:G32"/>
  </mergeCells>
  <phoneticPr fontId="3" type="noConversion"/>
  <pageMargins left="0.75" right="0.75" top="1" bottom="1" header="0.5" footer="0.5"/>
  <pageSetup paperSize="9"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系統報價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2025-07-24T09:55:06Z</cp:lastPrinted>
  <dcterms:created xsi:type="dcterms:W3CDTF">1999-12-09T02:36:51Z</dcterms:created>
  <dcterms:modified xsi:type="dcterms:W3CDTF">2025-07-24T10:05:32Z</dcterms:modified>
</cp:coreProperties>
</file>