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98CC3310-6A6D-4AF8-AA1E-B679EF5AE41D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sale_order!$A$1:$G$38</definedName>
  </definedNames>
  <calcPr calcId="191029"/>
</workbook>
</file>

<file path=xl/calcChain.xml><?xml version="1.0" encoding="utf-8"?>
<calcChain xmlns="http://schemas.openxmlformats.org/spreadsheetml/2006/main">
  <c r="G18" i="1" l="1"/>
  <c r="G17" i="1"/>
  <c r="G19" i="1" l="1"/>
  <c r="G20" i="1" s="1"/>
  <c r="G21" i="1" s="1"/>
  <c r="G22" i="1" s="1"/>
</calcChain>
</file>

<file path=xl/sharedStrings.xml><?xml version="1.0" encoding="utf-8"?>
<sst xmlns="http://schemas.openxmlformats.org/spreadsheetml/2006/main" count="52" uniqueCount="52">
  <si>
    <t xml:space="preserve">  </t>
  </si>
  <si>
    <t>QUOTATION</t>
  </si>
  <si>
    <t>顯赫資訊股份有限公司</t>
  </si>
  <si>
    <t>地址：新北市中和區建一路166號13樓之3</t>
  </si>
  <si>
    <t>公 司 名 稱：</t>
  </si>
  <si>
    <t>聯 絡 電 話：</t>
  </si>
  <si>
    <t xml:space="preserve"> 電      話  ：</t>
  </si>
  <si>
    <t>公 司 電 話：</t>
  </si>
  <si>
    <t xml:space="preserve"> 傳      真  ：</t>
  </si>
  <si>
    <t>E-Mail：</t>
  </si>
  <si>
    <t xml:space="preserve">    E-Mail  ：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</si>
  <si>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</si>
  <si>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</si>
  <si>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</si>
  <si>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</si>
  <si>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</si>
  <si>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</si>
  <si>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</si>
  <si>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小計</t>
  </si>
  <si>
    <t>Signature</t>
  </si>
  <si>
    <t>本報價單於取得客戶之同意簽章後，視為正式訂單即刻生效。</t>
  </si>
  <si>
    <t>02-8226-9211</t>
    <phoneticPr fontId="1" type="noConversion"/>
  </si>
  <si>
    <t>報價日期：</t>
    <phoneticPr fontId="1" type="noConversion"/>
  </si>
  <si>
    <t>統一編號：80426746</t>
    <phoneticPr fontId="1" type="noConversion"/>
  </si>
  <si>
    <t xml:space="preserve"> 聯 絡 人  ：</t>
    <phoneticPr fontId="1" type="noConversion"/>
  </si>
  <si>
    <t xml:space="preserve"> 聯   絡   人：</t>
    <phoneticPr fontId="1" type="noConversion"/>
  </si>
  <si>
    <t>創勝科技股份有限公司</t>
    <phoneticPr fontId="1" type="noConversion"/>
  </si>
  <si>
    <t>洪連俊</t>
    <phoneticPr fontId="1" type="noConversion"/>
  </si>
  <si>
    <t>0972-381-600</t>
    <phoneticPr fontId="1" type="noConversion"/>
  </si>
  <si>
    <t>05-6330599#11</t>
    <phoneticPr fontId="1" type="noConversion"/>
  </si>
  <si>
    <t>chun@bytech.com.tw</t>
    <phoneticPr fontId="1" type="noConversion"/>
  </si>
  <si>
    <t>MikroTik</t>
    <phoneticPr fontId="1" type="noConversion"/>
  </si>
  <si>
    <t>註：</t>
    <phoneticPr fontId="19" type="noConversion"/>
  </si>
  <si>
    <t>保固條件：</t>
    <phoneticPr fontId="1" type="noConversion"/>
  </si>
  <si>
    <t>一年</t>
    <phoneticPr fontId="1" type="noConversion"/>
  </si>
  <si>
    <t>SUB TOTAL</t>
    <phoneticPr fontId="1" type="noConversion"/>
  </si>
  <si>
    <t>付款條件：</t>
    <phoneticPr fontId="1" type="noConversion"/>
  </si>
  <si>
    <t>5%營業稅:</t>
    <phoneticPr fontId="1" type="noConversion"/>
  </si>
  <si>
    <t xml:space="preserve">含稅總價 : </t>
    <phoneticPr fontId="1" type="noConversion"/>
  </si>
  <si>
    <t>Remark   :</t>
    <phoneticPr fontId="20" type="noConversion"/>
  </si>
  <si>
    <t xml:space="preserve">未稅金額: </t>
    <phoneticPr fontId="1" type="noConversion"/>
  </si>
  <si>
    <t>匯款後出貨。</t>
    <phoneticPr fontId="1" type="noConversion"/>
  </si>
  <si>
    <t>1. 報價單有效期限為 即日起 14日內(含假日)有效</t>
    <phoneticPr fontId="20" type="noConversion"/>
  </si>
  <si>
    <t>數量</t>
    <phoneticPr fontId="1" type="noConversion"/>
  </si>
  <si>
    <t>MikroTik
CRS326-24S+2Q+RM</t>
    <phoneticPr fontId="1" type="noConversion"/>
  </si>
  <si>
    <t>MikroTik
CRS326-24G-2S+RM</t>
    <phoneticPr fontId="1" type="noConversion"/>
  </si>
  <si>
    <t>20250528-01</t>
    <phoneticPr fontId="1" type="noConversion"/>
  </si>
  <si>
    <t>02-8226-9200#140</t>
    <phoneticPr fontId="1" type="noConversion"/>
  </si>
  <si>
    <t>Kevin</t>
    <phoneticPr fontId="1" type="noConversion"/>
  </si>
  <si>
    <t>Kevin@gentrice.net</t>
    <phoneticPr fontId="1" type="noConversion"/>
  </si>
  <si>
    <t xml:space="preserve">CPU:800 MHz 
RAM:512MB
24個 Gigabit LAN連接埠
2個 10G SFP+ 連接埠,
作業系統：RouterOS L5 或 SwitchOS
</t>
    <phoneticPr fontId="1" type="noConversion"/>
  </si>
  <si>
    <t>2個 40G QSFP+ 連接埠 
24個  10G SFP+ 連接埠 
1個 管理用 LAN 連接埠
作業系統：RouterOS L5 或 SwitchOS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</si>
</sst>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2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36"/>
      <name val="新細明體"/>
      <family val="1"/>
      <charset val="136"/>
      <scheme val="minor"/>
    </font>
    <font>
      <b/>
      <sz val="25"/>
      <name val="新細明體"/>
      <family val="1"/>
      <charset val="136"/>
      <scheme val="minor"/>
    </font>
    <font>
      <b/>
      <sz val="26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sz val="18"/>
      <name val="新細明體"/>
      <family val="1"/>
      <charset val="136"/>
      <scheme val="minor"/>
    </font>
    <font>
      <u/>
      <sz val="22"/>
      <color indexed="12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24"/>
      <name val="新細明體"/>
      <family val="1"/>
      <charset val="136"/>
      <scheme val="minor"/>
    </font>
    <font>
      <b/>
      <sz val="16"/>
      <name val="新細明體"/>
      <family val="1"/>
      <charset val="136"/>
      <scheme val="minor"/>
    </font>
    <font>
      <sz val="16"/>
      <color indexed="8"/>
      <name val="新細明體"/>
      <family val="1"/>
      <charset val="136"/>
      <scheme val="minor"/>
    </font>
    <font>
      <b/>
      <sz val="14"/>
      <name val="新細明體"/>
      <family val="1"/>
      <charset val="136"/>
      <scheme val="minor"/>
    </font>
    <font>
      <sz val="9"/>
      <name val="細明體"/>
      <family val="3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3" fillId="0" borderId="0"/>
    <xf numFmtId="0" fontId="2" fillId="0" borderId="0">
      <alignment vertical="top"/>
      <protection locked="0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7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4" fontId="10" fillId="0" borderId="2" xfId="0" applyNumberFormat="1" applyFont="1" applyBorder="1"/>
    <xf numFmtId="58" fontId="10" fillId="0" borderId="2" xfId="0" applyNumberFormat="1" applyFont="1" applyBorder="1" applyAlignment="1">
      <alignment horizontal="right"/>
    </xf>
    <xf numFmtId="58" fontId="10" fillId="0" borderId="0" xfId="0" applyNumberFormat="1" applyFont="1" applyAlignment="1">
      <alignment horizontal="right"/>
    </xf>
    <xf numFmtId="0" fontId="11" fillId="0" borderId="0" xfId="0" applyFont="1"/>
    <xf numFmtId="14" fontId="10" fillId="0" borderId="0" xfId="0" applyNumberFormat="1" applyFont="1"/>
    <xf numFmtId="0" fontId="10" fillId="0" borderId="0" xfId="0" applyFont="1" applyAlignment="1">
      <alignment horizontal="right"/>
    </xf>
    <xf numFmtId="49" fontId="11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49" fontId="12" fillId="0" borderId="0" xfId="0" applyNumberFormat="1" applyFont="1" applyAlignment="1">
      <alignment horizontal="left"/>
    </xf>
    <xf numFmtId="0" fontId="11" fillId="0" borderId="0" xfId="0" applyFont="1" applyAlignment="1">
      <alignment wrapText="1"/>
    </xf>
    <xf numFmtId="49" fontId="1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2" borderId="3" xfId="0" applyFont="1" applyFill="1" applyBorder="1" applyAlignment="1">
      <alignment horizontal="center"/>
    </xf>
    <xf numFmtId="176" fontId="16" fillId="2" borderId="3" xfId="1" applyNumberFormat="1" applyFont="1" applyFill="1" applyBorder="1" applyAlignment="1">
      <alignment horizontal="left"/>
    </xf>
    <xf numFmtId="176" fontId="16" fillId="2" borderId="3" xfId="1" applyNumberFormat="1" applyFont="1" applyFill="1" applyBorder="1" applyAlignment="1">
      <alignment horizontal="left" wrapText="1"/>
    </xf>
    <xf numFmtId="38" fontId="17" fillId="0" borderId="3" xfId="1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3" fontId="5" fillId="0" borderId="3" xfId="1" applyNumberFormat="1" applyFont="1" applyBorder="1" applyAlignment="1">
      <alignment horizontal="right" vertical="center" wrapText="1"/>
    </xf>
    <xf numFmtId="3" fontId="5" fillId="0" borderId="3" xfId="1" applyNumberFormat="1" applyFont="1" applyBorder="1" applyAlignment="1">
      <alignment horizontal="right" vertical="center"/>
    </xf>
    <xf numFmtId="38" fontId="17" fillId="0" borderId="3" xfId="1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right" vertical="center"/>
    </xf>
    <xf numFmtId="177" fontId="5" fillId="0" borderId="3" xfId="1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5" fillId="0" borderId="3" xfId="0" applyFont="1" applyBorder="1" applyAlignment="1">
      <alignment horizontal="right"/>
    </xf>
    <xf numFmtId="0" fontId="4" fillId="0" borderId="0" xfId="0" applyFont="1"/>
    <xf numFmtId="0" fontId="6" fillId="0" borderId="0" xfId="0" applyFont="1"/>
    <xf numFmtId="49" fontId="11" fillId="0" borderId="0" xfId="0" applyNumberFormat="1" applyFont="1" applyAlignment="1">
      <alignment horizontal="left"/>
    </xf>
    <xf numFmtId="0" fontId="11" fillId="0" borderId="0" xfId="0" applyFont="1"/>
    <xf numFmtId="49" fontId="5" fillId="0" borderId="7" xfId="15" applyNumberFormat="1" applyFont="1" applyBorder="1" applyAlignment="1">
      <alignment horizontal="left" vertical="center" wrapText="1"/>
    </xf>
    <xf numFmtId="0" fontId="6" fillId="0" borderId="6" xfId="0" applyFont="1" applyBorder="1"/>
    <xf numFmtId="49" fontId="5" fillId="0" borderId="3" xfId="1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13" fillId="0" borderId="0" xfId="2" applyFont="1" applyAlignment="1" applyProtection="1">
      <alignment wrapText="1"/>
    </xf>
    <xf numFmtId="176" fontId="16" fillId="2" borderId="3" xfId="1" applyNumberFormat="1" applyFont="1" applyFill="1" applyBorder="1" applyAlignment="1">
      <alignment horizontal="left" wrapText="1"/>
    </xf>
    <xf numFmtId="49" fontId="5" fillId="0" borderId="3" xfId="1" applyNumberFormat="1" applyFont="1" applyBorder="1" applyAlignment="1">
      <alignment horizontal="left" wrapText="1"/>
    </xf>
    <xf numFmtId="0" fontId="5" fillId="0" borderId="3" xfId="0" applyFont="1" applyBorder="1"/>
    <xf numFmtId="0" fontId="11" fillId="0" borderId="0" xfId="0" applyFont="1" applyAlignment="1">
      <alignment wrapText="1"/>
    </xf>
    <xf numFmtId="0" fontId="5" fillId="0" borderId="4" xfId="0" applyFont="1" applyBorder="1" applyAlignment="1">
      <alignment horizontal="justify"/>
    </xf>
    <xf numFmtId="0" fontId="6" fillId="0" borderId="4" xfId="0" applyFont="1" applyBorder="1"/>
    <xf numFmtId="0" fontId="16" fillId="0" borderId="5" xfId="0" applyFont="1" applyBorder="1" applyAlignment="1">
      <alignment horizontal="left"/>
    </xf>
    <xf numFmtId="0" fontId="6" fillId="0" borderId="5" xfId="0" applyFont="1" applyBorder="1"/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wrapText="1"/>
    </xf>
    <xf numFmtId="49" fontId="11" fillId="0" borderId="2" xfId="0" applyNumberFormat="1" applyFont="1" applyBorder="1" applyAlignment="1">
      <alignment horizontal="left"/>
    </xf>
    <xf numFmtId="0" fontId="6" fillId="0" borderId="2" xfId="0" applyFont="1" applyBorder="1"/>
    <xf numFmtId="177" fontId="17" fillId="0" borderId="3" xfId="1" applyNumberFormat="1" applyFont="1" applyBorder="1" applyAlignment="1">
      <alignment horizontal="right" vertical="center" wrapText="1"/>
    </xf>
    <xf numFmtId="177" fontId="5" fillId="0" borderId="3" xfId="0" applyNumberFormat="1" applyFont="1" applyBorder="1" applyAlignment="1">
      <alignment vertical="center"/>
    </xf>
    <xf numFmtId="177" fontId="17" fillId="0" borderId="3" xfId="0" applyNumberFormat="1" applyFont="1" applyBorder="1" applyAlignment="1">
      <alignment horizontal="right" vertical="center"/>
    </xf>
    <xf numFmtId="1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77" fontId="17" fillId="0" borderId="7" xfId="0" applyNumberFormat="1" applyFont="1" applyBorder="1" applyAlignment="1">
      <alignment horizontal="right" vertical="center"/>
    </xf>
    <xf numFmtId="177" fontId="17" fillId="0" borderId="6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49" fontId="5" fillId="0" borderId="6" xfId="15" applyNumberFormat="1" applyFont="1" applyBorder="1" applyAlignment="1">
      <alignment horizontal="left" vertical="center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2353428</xdr:colOff>
      <xdr:row>25</xdr:row>
      <xdr:rowOff>47626</xdr:rowOff>
    </xdr:from>
    <xdr:to>
      <xdr:col>6</xdr:col>
      <xdr:colOff>940592</xdr:colOff>
      <xdr:row>32</xdr:row>
      <xdr:rowOff>188120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2D856F9-5C0F-1215-BF5F-D8EA31A2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6866" y="10560845"/>
          <a:ext cx="3632239" cy="2974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52"/>
  <sheetViews>
    <sheetView tabSelected="1" view="pageBreakPreview" zoomScale="80" zoomScaleNormal="80" zoomScaleSheetLayoutView="80" workbookViewId="0">
      <selection activeCell="C24" sqref="C24:G24"/>
    </sheetView>
  </sheetViews>
  <sheetFormatPr defaultColWidth="9" defaultRowHeight="17" x14ac:dyDescent="0.4"/>
  <cols>
    <col min="1" max="1" width="7.36328125" style="4" customWidth="1"/>
    <col min="2" max="2" width="29" style="4" customWidth="1"/>
    <col min="3" max="3" width="30.08984375" style="4" customWidth="1"/>
    <col min="4" max="4" width="38.08984375" style="7" customWidth="1"/>
    <col min="5" max="5" width="20.08984375" style="7" customWidth="1"/>
    <col min="6" max="6" width="14.08984375" style="4" customWidth="1"/>
    <col min="7" max="7" width="17.90625" style="4" customWidth="1"/>
    <col min="8" max="8" width="9" style="4" customWidth="1"/>
    <col min="9" max="16384" width="9" style="4"/>
  </cols>
  <sheetData>
    <row r="3" spans="1:13" ht="22" customHeight="1" x14ac:dyDescent="0.45">
      <c r="A3" s="1"/>
      <c r="B3" s="2"/>
      <c r="C3" s="2"/>
      <c r="D3" s="3"/>
      <c r="E3" s="3"/>
      <c r="F3" s="2"/>
      <c r="G3" s="2"/>
    </row>
    <row r="4" spans="1:13" ht="45" customHeight="1" x14ac:dyDescent="0.75">
      <c r="A4" s="1" t="s">
        <v>0</v>
      </c>
      <c r="B4" s="2"/>
      <c r="C4" s="61" t="s">
        <v>1</v>
      </c>
      <c r="D4" s="44"/>
      <c r="E4" s="5" t="s">
        <v>2</v>
      </c>
      <c r="G4" s="6"/>
    </row>
    <row r="5" spans="1:13" ht="23.15" customHeight="1" x14ac:dyDescent="0.45">
      <c r="A5" s="1"/>
      <c r="B5" s="2"/>
      <c r="C5" s="44"/>
      <c r="D5" s="62"/>
      <c r="E5" s="1" t="s">
        <v>23</v>
      </c>
      <c r="F5" s="1"/>
      <c r="G5" s="1"/>
    </row>
    <row r="6" spans="1:13" ht="23.15" customHeight="1" thickBot="1" x14ac:dyDescent="0.5">
      <c r="A6" s="1"/>
      <c r="B6" s="8"/>
      <c r="C6" s="8"/>
      <c r="D6" s="9"/>
      <c r="E6" s="1" t="s">
        <v>3</v>
      </c>
      <c r="F6" s="1"/>
      <c r="G6" s="1"/>
    </row>
    <row r="7" spans="1:13" s="13" customFormat="1" ht="32.25" customHeight="1" thickTop="1" x14ac:dyDescent="0.6">
      <c r="A7" s="10"/>
      <c r="B7" s="11" t="s">
        <v>4</v>
      </c>
      <c r="C7" s="63" t="s">
        <v>26</v>
      </c>
      <c r="D7" s="64"/>
      <c r="E7" s="12" t="s">
        <v>22</v>
      </c>
      <c r="F7" s="68" t="s">
        <v>46</v>
      </c>
      <c r="G7" s="69"/>
    </row>
    <row r="8" spans="1:13" s="13" customFormat="1" ht="29.25" customHeight="1" x14ac:dyDescent="0.6">
      <c r="A8" s="14"/>
      <c r="B8" s="15" t="s">
        <v>25</v>
      </c>
      <c r="C8" s="45" t="s">
        <v>27</v>
      </c>
      <c r="D8" s="46"/>
      <c r="E8" s="15" t="s">
        <v>24</v>
      </c>
      <c r="F8" s="45" t="s">
        <v>48</v>
      </c>
      <c r="G8" s="46"/>
    </row>
    <row r="9" spans="1:13" s="13" customFormat="1" ht="27.75" customHeight="1" x14ac:dyDescent="0.6">
      <c r="A9" s="17"/>
      <c r="B9" s="15" t="s">
        <v>5</v>
      </c>
      <c r="C9" s="45" t="s">
        <v>28</v>
      </c>
      <c r="D9" s="46"/>
      <c r="E9" s="15" t="s">
        <v>6</v>
      </c>
      <c r="F9" s="45" t="s">
        <v>47</v>
      </c>
      <c r="G9" s="46"/>
    </row>
    <row r="10" spans="1:13" s="13" customFormat="1" ht="27.65" customHeight="1" x14ac:dyDescent="0.6">
      <c r="A10" s="17"/>
      <c r="B10" s="15" t="s">
        <v>7</v>
      </c>
      <c r="C10" s="45" t="s">
        <v>29</v>
      </c>
      <c r="D10" s="46"/>
      <c r="E10" s="15" t="s">
        <v>8</v>
      </c>
      <c r="F10" s="45" t="s">
        <v>21</v>
      </c>
      <c r="G10" s="46"/>
    </row>
    <row r="11" spans="1:13" s="13" customFormat="1" ht="27.75" customHeight="1" x14ac:dyDescent="0.6">
      <c r="A11" s="17"/>
      <c r="B11" s="18" t="s">
        <v>9</v>
      </c>
      <c r="C11" s="45" t="s">
        <v>30</v>
      </c>
      <c r="D11" s="46"/>
      <c r="E11" s="18" t="s">
        <v>10</v>
      </c>
      <c r="F11" s="19" t="s">
        <v>49</v>
      </c>
    </row>
    <row r="12" spans="1:13" s="13" customFormat="1" ht="33" customHeight="1" x14ac:dyDescent="0.7">
      <c r="A12" s="17"/>
      <c r="B12" s="18"/>
      <c r="C12" s="52"/>
      <c r="D12" s="46"/>
      <c r="E12" s="20"/>
      <c r="F12" s="17"/>
      <c r="G12" s="17"/>
    </row>
    <row r="13" spans="1:13" s="13" customFormat="1" ht="30" customHeight="1" x14ac:dyDescent="0.6">
      <c r="A13" s="17"/>
      <c r="B13" s="18" t="s">
        <v>11</v>
      </c>
      <c r="C13" s="21" t="s">
        <v>31</v>
      </c>
      <c r="D13" s="20"/>
      <c r="E13" s="20"/>
      <c r="F13" s="17"/>
      <c r="G13" s="22"/>
      <c r="M13" s="20"/>
    </row>
    <row r="14" spans="1:13" s="13" customFormat="1" ht="30" customHeight="1" x14ac:dyDescent="0.6">
      <c r="A14" s="17"/>
      <c r="B14" s="18"/>
      <c r="C14" s="16"/>
      <c r="D14" s="20"/>
      <c r="E14" s="20"/>
      <c r="F14" s="17"/>
      <c r="G14" s="22"/>
      <c r="M14" s="20"/>
    </row>
    <row r="15" spans="1:13" ht="34" customHeight="1" x14ac:dyDescent="0.75">
      <c r="A15" s="23" t="s">
        <v>12</v>
      </c>
      <c r="B15" s="24"/>
      <c r="C15" s="24"/>
      <c r="F15" s="22" t="s">
        <v>13</v>
      </c>
    </row>
    <row r="16" spans="1:13" s="13" customFormat="1" ht="39.75" customHeight="1" x14ac:dyDescent="0.6">
      <c r="A16" s="25" t="s">
        <v>14</v>
      </c>
      <c r="B16" s="26" t="s">
        <v>15</v>
      </c>
      <c r="C16" s="53" t="s">
        <v>16</v>
      </c>
      <c r="D16" s="48"/>
      <c r="E16" s="27" t="s">
        <v>17</v>
      </c>
      <c r="F16" s="26" t="s">
        <v>43</v>
      </c>
      <c r="G16" s="26" t="s">
        <v>18</v>
      </c>
    </row>
    <row r="17" spans="1:7" ht="158.5" customHeight="1" x14ac:dyDescent="0.4">
      <c r="A17" s="28">
        <v>1</v>
      </c>
      <c r="B17" s="29" t="s">
        <v>44</v>
      </c>
      <c r="C17" s="47" t="s">
        <v>51</v>
      </c>
      <c r="D17" s="48"/>
      <c r="E17" s="30">
        <v>17250</v>
      </c>
      <c r="F17" s="31">
        <v>1</v>
      </c>
      <c r="G17" s="32">
        <f>E17*F17</f>
        <v>17250</v>
      </c>
    </row>
    <row r="18" spans="1:7" ht="158.5" customHeight="1" x14ac:dyDescent="0.4">
      <c r="A18" s="28">
        <v>2</v>
      </c>
      <c r="B18" s="29" t="s">
        <v>45</v>
      </c>
      <c r="C18" s="47" t="s">
        <v>50</v>
      </c>
      <c r="D18" s="73"/>
      <c r="E18" s="30">
        <v>6500</v>
      </c>
      <c r="F18" s="31">
        <v>8</v>
      </c>
      <c r="G18" s="32">
        <f>E18*F18</f>
        <v>52000</v>
      </c>
    </row>
    <row r="19" spans="1:7" ht="27.75" customHeight="1" x14ac:dyDescent="0.4">
      <c r="A19" s="38"/>
      <c r="B19" s="33" t="s">
        <v>33</v>
      </c>
      <c r="C19" s="49" t="s">
        <v>34</v>
      </c>
      <c r="D19" s="50"/>
      <c r="E19" s="65" t="s">
        <v>35</v>
      </c>
      <c r="F19" s="66"/>
      <c r="G19" s="39">
        <f>G17+G18</f>
        <v>69250</v>
      </c>
    </row>
    <row r="20" spans="1:7" ht="29.25" customHeight="1" x14ac:dyDescent="0.45">
      <c r="A20" s="40"/>
      <c r="B20" s="42" t="s" ph="1">
        <v>36</v>
      </c>
      <c r="C20" s="54" t="s">
        <v>41</v>
      </c>
      <c r="D20" s="55"/>
      <c r="E20" s="67" t="s" ph="1">
        <v>40</v>
      </c>
      <c r="F20" s="67"/>
      <c r="G20" s="39">
        <f>G19</f>
        <v>69250</v>
      </c>
    </row>
    <row r="21" spans="1:7" ht="26.25" customHeight="1" x14ac:dyDescent="0.45">
      <c r="A21" s="38" t="s">
        <v>32</v>
      </c>
      <c r="B21" s="33"/>
      <c r="C21" s="49"/>
      <c r="D21" s="50"/>
      <c r="E21" s="70" t="s" ph="1">
        <v>37</v>
      </c>
      <c r="F21" s="71"/>
      <c r="G21" s="39">
        <f>G20*0.05</f>
        <v>3462.5</v>
      </c>
    </row>
    <row r="22" spans="1:7" ht="31.5" customHeight="1" x14ac:dyDescent="0.45">
      <c r="A22" s="34" ph="1"/>
      <c r="B22" s="33" ph="1"/>
      <c r="C22" s="54"/>
      <c r="D22" s="55"/>
      <c r="E22" s="67" t="s" ph="1">
        <v>38</v>
      </c>
      <c r="F22" s="67"/>
      <c r="G22" s="39">
        <f>G20+G21</f>
        <v>72712.5</v>
      </c>
    </row>
    <row r="23" spans="1:7" ht="31.5" customHeight="1" x14ac:dyDescent="0.6">
      <c r="A23" s="35"/>
      <c r="B23" s="13"/>
      <c r="C23" s="1"/>
      <c r="D23" s="4"/>
      <c r="E23" s="1"/>
      <c r="F23" s="1"/>
      <c r="G23" s="1"/>
    </row>
    <row r="24" spans="1:7" ht="31.5" customHeight="1" x14ac:dyDescent="0.45">
      <c r="A24" s="35"/>
      <c r="B24" s="41" t="s">
        <v>39</v>
      </c>
      <c r="C24" s="72" t="s">
        <v>42</v>
      </c>
      <c r="D24" s="72"/>
      <c r="E24" s="72"/>
      <c r="F24" s="72"/>
      <c r="G24" s="72"/>
    </row>
    <row r="25" spans="1:7" ht="31.5" customHeight="1" x14ac:dyDescent="0.6">
      <c r="A25" s="35"/>
      <c r="B25" s="13"/>
      <c r="C25" s="1"/>
      <c r="D25" s="4"/>
      <c r="E25" s="1"/>
      <c r="F25" s="1"/>
      <c r="G25" s="1"/>
    </row>
    <row r="26" spans="1:7" ht="31.5" customHeight="1" x14ac:dyDescent="0.6">
      <c r="A26" s="35"/>
      <c r="B26" s="13"/>
      <c r="C26" s="1"/>
      <c r="D26" s="4"/>
      <c r="E26" s="1"/>
      <c r="F26" s="1"/>
      <c r="G26" s="1"/>
    </row>
    <row r="27" spans="1:7" ht="31.5" customHeight="1" x14ac:dyDescent="0.6">
      <c r="A27" s="35"/>
      <c r="B27" s="13"/>
      <c r="C27" s="51"/>
      <c r="D27" s="44"/>
      <c r="E27" s="44"/>
      <c r="F27" s="44"/>
      <c r="G27" s="44"/>
    </row>
    <row r="28" spans="1:7" ht="31.5" customHeight="1" x14ac:dyDescent="0.6">
      <c r="A28" s="35"/>
      <c r="B28" s="13"/>
      <c r="C28" s="51"/>
      <c r="D28" s="44"/>
      <c r="E28" s="36"/>
      <c r="F28" s="36"/>
      <c r="G28" s="36"/>
    </row>
    <row r="29" spans="1:7" ht="31.5" customHeight="1" x14ac:dyDescent="0.6">
      <c r="A29" s="35"/>
      <c r="B29" s="13"/>
      <c r="C29" s="51"/>
      <c r="D29" s="44"/>
      <c r="E29" s="4"/>
    </row>
    <row r="30" spans="1:7" ht="31.5" customHeight="1" x14ac:dyDescent="0.6">
      <c r="A30" s="35"/>
      <c r="B30" s="13"/>
      <c r="C30" s="51"/>
      <c r="D30" s="44"/>
      <c r="E30" s="44"/>
      <c r="F30" s="44"/>
      <c r="G30" s="44"/>
    </row>
    <row r="31" spans="1:7" ht="31.5" customHeight="1" x14ac:dyDescent="0.6">
      <c r="A31" s="35"/>
      <c r="B31" s="13"/>
      <c r="C31" s="51"/>
      <c r="D31" s="44"/>
      <c r="E31" s="44"/>
      <c r="F31" s="44"/>
      <c r="G31" s="44"/>
    </row>
    <row r="32" spans="1:7" ht="31.5" customHeight="1" x14ac:dyDescent="0.6">
      <c r="A32" s="35"/>
      <c r="B32" s="13"/>
      <c r="C32" s="43"/>
      <c r="D32" s="44"/>
      <c r="E32" s="44"/>
      <c r="F32" s="44"/>
      <c r="G32" s="44"/>
    </row>
    <row r="33" spans="1:7" ht="31.5" customHeight="1" x14ac:dyDescent="0.6">
      <c r="A33" s="35"/>
      <c r="B33" s="13"/>
      <c r="C33" s="43"/>
      <c r="D33" s="44"/>
      <c r="E33" s="44"/>
      <c r="F33" s="44"/>
      <c r="G33" s="44"/>
    </row>
    <row r="34" spans="1:7" ht="31.5" customHeight="1" x14ac:dyDescent="0.6">
      <c r="A34" s="35"/>
      <c r="B34" s="13"/>
      <c r="C34" s="43"/>
      <c r="D34" s="44"/>
      <c r="E34" s="44"/>
      <c r="F34" s="44"/>
      <c r="G34" s="44"/>
    </row>
    <row r="35" spans="1:7" s="1" customFormat="1" ht="27.75" customHeight="1" thickBot="1" x14ac:dyDescent="0.5">
      <c r="A35" s="37"/>
      <c r="B35" s="59" t="s">
        <v>19</v>
      </c>
      <c r="C35" s="60"/>
      <c r="D35" s="60"/>
    </row>
    <row r="36" spans="1:7" s="1" customFormat="1" ht="33" customHeight="1" x14ac:dyDescent="0.45">
      <c r="B36" s="57" t="s">
        <v>20</v>
      </c>
      <c r="C36" s="58"/>
      <c r="D36" s="58"/>
    </row>
    <row r="37" spans="1:7" s="1" customFormat="1" ht="33" customHeight="1" x14ac:dyDescent="0.6">
      <c r="B37" s="20"/>
      <c r="C37" s="20"/>
      <c r="D37" s="20"/>
    </row>
    <row r="38" spans="1:7" s="1" customFormat="1" ht="47.25" customHeight="1" x14ac:dyDescent="0.6">
      <c r="B38" s="56"/>
      <c r="C38" s="43"/>
      <c r="D38" s="43"/>
      <c r="E38" s="43"/>
      <c r="F38" s="43"/>
      <c r="G38" s="43"/>
    </row>
    <row r="39" spans="1:7" s="1" customFormat="1" ht="45" customHeight="1" x14ac:dyDescent="0.45"/>
    <row r="40" spans="1:7" s="1" customFormat="1" ht="20.149999999999999" customHeight="1" x14ac:dyDescent="0.45"/>
    <row r="41" spans="1:7" x14ac:dyDescent="0.4">
      <c r="D41" s="4"/>
      <c r="E41" s="4"/>
    </row>
    <row r="42" spans="1:7" x14ac:dyDescent="0.4">
      <c r="D42" s="4"/>
      <c r="E42" s="4"/>
    </row>
    <row r="43" spans="1:7" x14ac:dyDescent="0.4">
      <c r="D43" s="4"/>
      <c r="E43" s="4"/>
    </row>
    <row r="44" spans="1:7" x14ac:dyDescent="0.4">
      <c r="D44" s="4"/>
      <c r="E44" s="4"/>
    </row>
    <row r="45" spans="1:7" x14ac:dyDescent="0.4">
      <c r="D45" s="4"/>
      <c r="E45" s="4"/>
    </row>
    <row r="46" spans="1:7" x14ac:dyDescent="0.4">
      <c r="D46" s="4"/>
      <c r="E46" s="4"/>
    </row>
    <row r="47" spans="1:7" x14ac:dyDescent="0.4">
      <c r="D47" s="4"/>
      <c r="E47" s="4"/>
    </row>
    <row r="48" spans="1:7" x14ac:dyDescent="0.4">
      <c r="D48" s="4"/>
      <c r="E48" s="4"/>
    </row>
    <row r="49" s="4" customFormat="1" x14ac:dyDescent="0.4"/>
    <row r="50" s="4" customFormat="1" x14ac:dyDescent="0.4"/>
    <row r="51" s="4" customFormat="1" x14ac:dyDescent="0.4"/>
    <row r="52" s="4" customFormat="1" x14ac:dyDescent="0.4"/>
    <row r="53" s="4" customFormat="1" x14ac:dyDescent="0.4"/>
    <row r="54" s="4" customFormat="1" x14ac:dyDescent="0.4"/>
    <row r="55" s="4" customFormat="1" x14ac:dyDescent="0.4"/>
    <row r="56" s="4" customFormat="1" x14ac:dyDescent="0.4"/>
    <row r="57" s="4" customFormat="1" x14ac:dyDescent="0.4"/>
    <row r="58" s="4" customFormat="1" x14ac:dyDescent="0.4"/>
    <row r="59" s="4" customFormat="1" x14ac:dyDescent="0.4"/>
    <row r="60" s="4" customFormat="1" x14ac:dyDescent="0.4"/>
    <row r="61" s="4" customFormat="1" x14ac:dyDescent="0.4"/>
    <row r="62" s="4" customFormat="1" x14ac:dyDescent="0.4"/>
    <row r="63" s="4" customFormat="1" x14ac:dyDescent="0.4"/>
    <row r="64" s="4" customFormat="1" x14ac:dyDescent="0.4"/>
    <row r="65" s="4" customFormat="1" x14ac:dyDescent="0.4"/>
    <row r="66" s="4" customFormat="1" x14ac:dyDescent="0.4"/>
    <row r="67" s="4" customFormat="1" x14ac:dyDescent="0.4"/>
    <row r="68" s="4" customFormat="1" x14ac:dyDescent="0.4"/>
    <row r="69" s="4" customFormat="1" x14ac:dyDescent="0.4"/>
    <row r="70" s="4" customFormat="1" x14ac:dyDescent="0.4"/>
    <row r="71" s="4" customFormat="1" x14ac:dyDescent="0.4"/>
    <row r="72" s="4" customFormat="1" x14ac:dyDescent="0.4"/>
    <row r="73" s="4" customFormat="1" x14ac:dyDescent="0.4"/>
    <row r="74" s="4" customFormat="1" x14ac:dyDescent="0.4"/>
    <row r="75" s="4" customFormat="1" x14ac:dyDescent="0.4"/>
    <row r="76" s="4" customFormat="1" x14ac:dyDescent="0.4"/>
    <row r="77" s="4" customFormat="1" x14ac:dyDescent="0.4"/>
    <row r="78" s="4" customFormat="1" x14ac:dyDescent="0.4"/>
    <row r="79" s="4" customFormat="1" x14ac:dyDescent="0.4"/>
    <row r="80" s="4" customFormat="1" x14ac:dyDescent="0.4"/>
    <row r="81" s="4" customFormat="1" x14ac:dyDescent="0.4"/>
    <row r="82" s="4" customFormat="1" x14ac:dyDescent="0.4"/>
    <row r="83" s="4" customFormat="1" x14ac:dyDescent="0.4"/>
    <row r="84" s="4" customFormat="1" x14ac:dyDescent="0.4"/>
    <row r="85" s="4" customFormat="1" x14ac:dyDescent="0.4"/>
    <row r="86" s="4" customFormat="1" x14ac:dyDescent="0.4"/>
    <row r="87" s="4" customFormat="1" x14ac:dyDescent="0.4"/>
    <row r="88" s="4" customFormat="1" x14ac:dyDescent="0.4"/>
    <row r="89" s="4" customFormat="1" x14ac:dyDescent="0.4"/>
    <row r="90" s="4" customFormat="1" x14ac:dyDescent="0.4"/>
    <row r="91" s="4" customFormat="1" x14ac:dyDescent="0.4"/>
    <row r="92" s="4" customFormat="1" x14ac:dyDescent="0.4"/>
    <row r="93" s="4" customFormat="1" x14ac:dyDescent="0.4"/>
    <row r="94" s="4" customFormat="1" x14ac:dyDescent="0.4"/>
    <row r="95" s="4" customFormat="1" x14ac:dyDescent="0.4"/>
    <row r="96" s="4" customFormat="1" x14ac:dyDescent="0.4"/>
    <row r="97" s="4" customFormat="1" x14ac:dyDescent="0.4"/>
    <row r="98" s="4" customFormat="1" x14ac:dyDescent="0.4"/>
    <row r="99" s="4" customFormat="1" x14ac:dyDescent="0.4"/>
    <row r="100" s="4" customFormat="1" x14ac:dyDescent="0.4"/>
    <row r="101" s="4" customFormat="1" x14ac:dyDescent="0.4"/>
    <row r="102" s="4" customFormat="1" x14ac:dyDescent="0.4"/>
    <row r="103" s="4" customFormat="1" x14ac:dyDescent="0.4"/>
    <row r="104" s="4" customFormat="1" x14ac:dyDescent="0.4"/>
    <row r="105" s="4" customFormat="1" x14ac:dyDescent="0.4"/>
    <row r="106" s="4" customFormat="1" x14ac:dyDescent="0.4"/>
    <row r="107" s="4" customFormat="1" x14ac:dyDescent="0.4"/>
    <row r="108" s="4" customFormat="1" x14ac:dyDescent="0.4"/>
    <row r="109" s="4" customFormat="1" x14ac:dyDescent="0.4"/>
    <row r="110" s="4" customFormat="1" x14ac:dyDescent="0.4"/>
    <row r="111" s="4" customFormat="1" x14ac:dyDescent="0.4"/>
    <row r="112" s="4" customFormat="1" x14ac:dyDescent="0.4"/>
    <row r="113" s="4" customFormat="1" x14ac:dyDescent="0.4"/>
    <row r="114" s="4" customFormat="1" x14ac:dyDescent="0.4"/>
    <row r="115" s="4" customFormat="1" x14ac:dyDescent="0.4"/>
    <row r="116" s="4" customFormat="1" x14ac:dyDescent="0.4"/>
    <row r="117" s="4" customFormat="1" x14ac:dyDescent="0.4"/>
    <row r="118" s="4" customFormat="1" x14ac:dyDescent="0.4"/>
    <row r="119" s="4" customFormat="1" x14ac:dyDescent="0.4"/>
    <row r="120" s="4" customFormat="1" x14ac:dyDescent="0.4"/>
    <row r="121" s="4" customFormat="1" x14ac:dyDescent="0.4"/>
    <row r="122" s="4" customFormat="1" x14ac:dyDescent="0.4"/>
    <row r="123" s="4" customFormat="1" x14ac:dyDescent="0.4"/>
    <row r="124" s="4" customFormat="1" x14ac:dyDescent="0.4"/>
    <row r="125" s="4" customFormat="1" x14ac:dyDescent="0.4"/>
    <row r="126" s="4" customFormat="1" x14ac:dyDescent="0.4"/>
    <row r="127" s="4" customFormat="1" x14ac:dyDescent="0.4"/>
    <row r="128" s="4" customFormat="1" x14ac:dyDescent="0.4"/>
    <row r="129" s="4" customFormat="1" x14ac:dyDescent="0.4"/>
    <row r="130" s="4" customFormat="1" x14ac:dyDescent="0.4"/>
    <row r="131" s="4" customFormat="1" x14ac:dyDescent="0.4"/>
    <row r="132" s="4" customFormat="1" x14ac:dyDescent="0.4"/>
    <row r="133" s="4" customFormat="1" x14ac:dyDescent="0.4"/>
    <row r="134" s="4" customFormat="1" x14ac:dyDescent="0.4"/>
    <row r="135" s="4" customFormat="1" x14ac:dyDescent="0.4"/>
    <row r="136" s="4" customFormat="1" x14ac:dyDescent="0.4"/>
    <row r="137" s="4" customFormat="1" x14ac:dyDescent="0.4"/>
    <row r="138" s="4" customFormat="1" x14ac:dyDescent="0.4"/>
    <row r="139" s="4" customFormat="1" x14ac:dyDescent="0.4"/>
    <row r="140" s="4" customFormat="1" x14ac:dyDescent="0.4"/>
    <row r="141" s="4" customFormat="1" x14ac:dyDescent="0.4"/>
    <row r="142" s="4" customFormat="1" x14ac:dyDescent="0.4"/>
    <row r="143" s="4" customFormat="1" x14ac:dyDescent="0.4"/>
    <row r="144" s="4" customFormat="1" x14ac:dyDescent="0.4"/>
    <row r="145" s="4" customFormat="1" x14ac:dyDescent="0.4"/>
    <row r="146" s="4" customFormat="1" x14ac:dyDescent="0.4"/>
    <row r="147" s="4" customFormat="1" x14ac:dyDescent="0.4"/>
    <row r="148" s="4" customFormat="1" x14ac:dyDescent="0.4"/>
    <row r="149" s="4" customFormat="1" x14ac:dyDescent="0.4"/>
    <row r="150" s="4" customFormat="1" x14ac:dyDescent="0.4"/>
    <row r="151" s="4" customFormat="1" x14ac:dyDescent="0.4"/>
    <row r="152" s="4" customFormat="1" x14ac:dyDescent="0.4"/>
    <row r="153" s="4" customFormat="1" x14ac:dyDescent="0.4"/>
    <row r="154" s="4" customFormat="1" x14ac:dyDescent="0.4"/>
    <row r="155" s="4" customFormat="1" x14ac:dyDescent="0.4"/>
    <row r="156" s="4" customFormat="1" x14ac:dyDescent="0.4"/>
    <row r="157" s="4" customFormat="1" x14ac:dyDescent="0.4"/>
    <row r="158" s="4" customFormat="1" x14ac:dyDescent="0.4"/>
    <row r="159" s="4" customFormat="1" x14ac:dyDescent="0.4"/>
    <row r="160" s="4" customFormat="1" x14ac:dyDescent="0.4"/>
    <row r="161" s="4" customFormat="1" x14ac:dyDescent="0.4"/>
    <row r="162" s="4" customFormat="1" x14ac:dyDescent="0.4"/>
    <row r="163" s="4" customFormat="1" x14ac:dyDescent="0.4"/>
    <row r="164" s="4" customFormat="1" x14ac:dyDescent="0.4"/>
    <row r="165" s="4" customFormat="1" x14ac:dyDescent="0.4"/>
    <row r="166" s="4" customFormat="1" x14ac:dyDescent="0.4"/>
    <row r="167" s="4" customFormat="1" x14ac:dyDescent="0.4"/>
    <row r="168" s="4" customFormat="1" x14ac:dyDescent="0.4"/>
    <row r="169" s="4" customFormat="1" x14ac:dyDescent="0.4"/>
    <row r="170" s="4" customFormat="1" x14ac:dyDescent="0.4"/>
    <row r="171" s="4" customFormat="1" x14ac:dyDescent="0.4"/>
    <row r="172" s="4" customFormat="1" x14ac:dyDescent="0.4"/>
    <row r="173" s="4" customFormat="1" x14ac:dyDescent="0.4"/>
    <row r="174" s="4" customFormat="1" x14ac:dyDescent="0.4"/>
    <row r="175" s="4" customFormat="1" x14ac:dyDescent="0.4"/>
    <row r="176" s="4" customFormat="1" x14ac:dyDescent="0.4"/>
    <row r="177" s="4" customFormat="1" x14ac:dyDescent="0.4"/>
    <row r="178" s="4" customFormat="1" x14ac:dyDescent="0.4"/>
    <row r="179" s="4" customFormat="1" x14ac:dyDescent="0.4"/>
    <row r="180" s="4" customFormat="1" x14ac:dyDescent="0.4"/>
    <row r="181" s="4" customFormat="1" x14ac:dyDescent="0.4"/>
    <row r="182" s="4" customFormat="1" x14ac:dyDescent="0.4"/>
    <row r="183" s="4" customFormat="1" x14ac:dyDescent="0.4"/>
    <row r="184" s="4" customFormat="1" x14ac:dyDescent="0.4"/>
    <row r="185" s="4" customFormat="1" x14ac:dyDescent="0.4"/>
    <row r="186" s="4" customFormat="1" x14ac:dyDescent="0.4"/>
    <row r="187" s="4" customFormat="1" x14ac:dyDescent="0.4"/>
    <row r="188" s="4" customFormat="1" x14ac:dyDescent="0.4"/>
    <row r="189" s="4" customFormat="1" x14ac:dyDescent="0.4"/>
    <row r="190" s="4" customFormat="1" x14ac:dyDescent="0.4"/>
    <row r="191" s="4" customFormat="1" x14ac:dyDescent="0.4"/>
    <row r="192" s="4" customFormat="1" x14ac:dyDescent="0.4"/>
    <row r="193" s="4" customFormat="1" x14ac:dyDescent="0.4"/>
    <row r="194" s="4" customFormat="1" x14ac:dyDescent="0.4"/>
    <row r="195" s="4" customFormat="1" x14ac:dyDescent="0.4"/>
    <row r="196" s="4" customFormat="1" x14ac:dyDescent="0.4"/>
    <row r="197" s="4" customFormat="1" x14ac:dyDescent="0.4"/>
    <row r="198" s="4" customFormat="1" x14ac:dyDescent="0.4"/>
    <row r="199" s="4" customFormat="1" x14ac:dyDescent="0.4"/>
    <row r="200" s="4" customFormat="1" x14ac:dyDescent="0.4"/>
    <row r="201" s="4" customFormat="1" x14ac:dyDescent="0.4"/>
    <row r="202" s="4" customFormat="1" x14ac:dyDescent="0.4"/>
    <row r="203" s="4" customFormat="1" x14ac:dyDescent="0.4"/>
    <row r="204" s="4" customFormat="1" x14ac:dyDescent="0.4"/>
    <row r="205" s="4" customFormat="1" x14ac:dyDescent="0.4"/>
    <row r="206" s="4" customFormat="1" x14ac:dyDescent="0.4"/>
    <row r="207" s="4" customFormat="1" x14ac:dyDescent="0.4"/>
    <row r="208" s="4" customFormat="1" x14ac:dyDescent="0.4"/>
    <row r="209" s="4" customFormat="1" x14ac:dyDescent="0.4"/>
    <row r="210" s="4" customFormat="1" x14ac:dyDescent="0.4"/>
    <row r="211" s="4" customFormat="1" x14ac:dyDescent="0.4"/>
    <row r="212" s="4" customFormat="1" x14ac:dyDescent="0.4"/>
    <row r="213" s="4" customFormat="1" x14ac:dyDescent="0.4"/>
    <row r="214" s="4" customFormat="1" x14ac:dyDescent="0.4"/>
    <row r="215" s="4" customFormat="1" x14ac:dyDescent="0.4"/>
    <row r="216" s="4" customFormat="1" x14ac:dyDescent="0.4"/>
    <row r="217" s="4" customFormat="1" x14ac:dyDescent="0.4"/>
    <row r="218" s="4" customFormat="1" x14ac:dyDescent="0.4"/>
    <row r="219" s="4" customFormat="1" x14ac:dyDescent="0.4"/>
    <row r="220" s="4" customFormat="1" x14ac:dyDescent="0.4"/>
    <row r="221" s="4" customFormat="1" x14ac:dyDescent="0.4"/>
    <row r="222" s="4" customFormat="1" x14ac:dyDescent="0.4"/>
    <row r="223" s="4" customFormat="1" x14ac:dyDescent="0.4"/>
    <row r="224" s="4" customFormat="1" x14ac:dyDescent="0.4"/>
    <row r="225" s="4" customFormat="1" x14ac:dyDescent="0.4"/>
    <row r="226" s="4" customFormat="1" x14ac:dyDescent="0.4"/>
    <row r="227" s="4" customFormat="1" x14ac:dyDescent="0.4"/>
    <row r="228" s="4" customFormat="1" x14ac:dyDescent="0.4"/>
    <row r="229" s="4" customFormat="1" x14ac:dyDescent="0.4"/>
    <row r="230" s="4" customFormat="1" x14ac:dyDescent="0.4"/>
    <row r="231" s="4" customFormat="1" x14ac:dyDescent="0.4"/>
    <row r="232" s="4" customFormat="1" x14ac:dyDescent="0.4"/>
    <row r="233" s="4" customFormat="1" x14ac:dyDescent="0.4"/>
    <row r="234" s="4" customFormat="1" x14ac:dyDescent="0.4"/>
    <row r="235" s="4" customFormat="1" x14ac:dyDescent="0.4"/>
    <row r="236" s="4" customFormat="1" x14ac:dyDescent="0.4"/>
    <row r="237" s="4" customFormat="1" x14ac:dyDescent="0.4"/>
    <row r="238" s="4" customFormat="1" x14ac:dyDescent="0.4"/>
    <row r="239" s="4" customFormat="1" x14ac:dyDescent="0.4"/>
    <row r="240" s="4" customFormat="1" x14ac:dyDescent="0.4"/>
    <row r="241" s="4" customFormat="1" x14ac:dyDescent="0.4"/>
    <row r="242" s="4" customFormat="1" x14ac:dyDescent="0.4"/>
    <row r="243" s="4" customFormat="1" x14ac:dyDescent="0.4"/>
    <row r="244" s="4" customFormat="1" x14ac:dyDescent="0.4"/>
    <row r="245" s="4" customFormat="1" x14ac:dyDescent="0.4"/>
    <row r="246" s="4" customFormat="1" x14ac:dyDescent="0.4"/>
    <row r="247" s="4" customFormat="1" x14ac:dyDescent="0.4"/>
    <row r="248" s="4" customFormat="1" x14ac:dyDescent="0.4"/>
    <row r="249" s="4" customFormat="1" x14ac:dyDescent="0.4"/>
    <row r="250" s="4" customFormat="1" x14ac:dyDescent="0.4"/>
    <row r="251" s="4" customFormat="1" x14ac:dyDescent="0.4"/>
    <row r="252" s="4" customFormat="1" x14ac:dyDescent="0.4"/>
    <row r="253" s="4" customFormat="1" x14ac:dyDescent="0.4"/>
    <row r="254" s="4" customFormat="1" x14ac:dyDescent="0.4"/>
    <row r="255" s="4" customFormat="1" x14ac:dyDescent="0.4"/>
    <row r="256" s="4" customFormat="1" x14ac:dyDescent="0.4"/>
    <row r="257" s="4" customFormat="1" x14ac:dyDescent="0.4"/>
    <row r="258" s="4" customFormat="1" x14ac:dyDescent="0.4"/>
    <row r="259" s="4" customFormat="1" x14ac:dyDescent="0.4"/>
    <row r="260" s="4" customFormat="1" x14ac:dyDescent="0.4"/>
    <row r="261" s="4" customFormat="1" x14ac:dyDescent="0.4"/>
    <row r="262" s="4" customFormat="1" x14ac:dyDescent="0.4"/>
    <row r="263" s="4" customFormat="1" x14ac:dyDescent="0.4"/>
    <row r="264" s="4" customFormat="1" x14ac:dyDescent="0.4"/>
    <row r="265" s="4" customFormat="1" x14ac:dyDescent="0.4"/>
    <row r="266" s="4" customFormat="1" x14ac:dyDescent="0.4"/>
    <row r="267" s="4" customFormat="1" x14ac:dyDescent="0.4"/>
    <row r="268" s="4" customFormat="1" x14ac:dyDescent="0.4"/>
    <row r="269" s="4" customFormat="1" x14ac:dyDescent="0.4"/>
    <row r="270" s="4" customFormat="1" x14ac:dyDescent="0.4"/>
    <row r="271" s="4" customFormat="1" x14ac:dyDescent="0.4"/>
    <row r="272" s="4" customFormat="1" x14ac:dyDescent="0.4"/>
    <row r="273" s="4" customFormat="1" x14ac:dyDescent="0.4"/>
    <row r="274" s="4" customFormat="1" x14ac:dyDescent="0.4"/>
    <row r="275" s="4" customFormat="1" x14ac:dyDescent="0.4"/>
    <row r="276" s="4" customFormat="1" x14ac:dyDescent="0.4"/>
    <row r="277" s="4" customFormat="1" x14ac:dyDescent="0.4"/>
    <row r="278" s="4" customFormat="1" x14ac:dyDescent="0.4"/>
    <row r="279" s="4" customFormat="1" x14ac:dyDescent="0.4"/>
    <row r="280" s="4" customFormat="1" x14ac:dyDescent="0.4"/>
    <row r="281" s="4" customFormat="1" x14ac:dyDescent="0.4"/>
    <row r="282" s="4" customFormat="1" x14ac:dyDescent="0.4"/>
    <row r="283" s="4" customFormat="1" x14ac:dyDescent="0.4"/>
    <row r="284" s="4" customFormat="1" x14ac:dyDescent="0.4"/>
    <row r="285" s="4" customFormat="1" x14ac:dyDescent="0.4"/>
    <row r="286" s="4" customFormat="1" x14ac:dyDescent="0.4"/>
    <row r="287" s="4" customFormat="1" x14ac:dyDescent="0.4"/>
    <row r="288" s="4" customFormat="1" x14ac:dyDescent="0.4"/>
    <row r="289" s="4" customFormat="1" x14ac:dyDescent="0.4"/>
    <row r="290" s="4" customFormat="1" x14ac:dyDescent="0.4"/>
    <row r="291" s="4" customFormat="1" x14ac:dyDescent="0.4"/>
    <row r="292" s="4" customFormat="1" x14ac:dyDescent="0.4"/>
    <row r="293" s="4" customFormat="1" x14ac:dyDescent="0.4"/>
    <row r="294" s="4" customFormat="1" x14ac:dyDescent="0.4"/>
    <row r="295" s="4" customFormat="1" x14ac:dyDescent="0.4"/>
    <row r="296" s="4" customFormat="1" x14ac:dyDescent="0.4"/>
    <row r="297" s="4" customFormat="1" x14ac:dyDescent="0.4"/>
    <row r="298" s="4" customFormat="1" x14ac:dyDescent="0.4"/>
    <row r="299" s="4" customFormat="1" x14ac:dyDescent="0.4"/>
    <row r="300" s="4" customFormat="1" x14ac:dyDescent="0.4"/>
    <row r="301" s="4" customFormat="1" x14ac:dyDescent="0.4"/>
    <row r="302" s="4" customFormat="1" x14ac:dyDescent="0.4"/>
    <row r="303" s="4" customFormat="1" x14ac:dyDescent="0.4"/>
    <row r="304" s="4" customFormat="1" x14ac:dyDescent="0.4"/>
    <row r="305" s="4" customFormat="1" x14ac:dyDescent="0.4"/>
    <row r="306" s="4" customFormat="1" x14ac:dyDescent="0.4"/>
    <row r="307" s="4" customFormat="1" x14ac:dyDescent="0.4"/>
    <row r="308" s="4" customFormat="1" x14ac:dyDescent="0.4"/>
    <row r="309" s="4" customFormat="1" x14ac:dyDescent="0.4"/>
    <row r="310" s="4" customFormat="1" x14ac:dyDescent="0.4"/>
    <row r="311" s="4" customFormat="1" x14ac:dyDescent="0.4"/>
    <row r="312" s="4" customFormat="1" x14ac:dyDescent="0.4"/>
    <row r="313" s="4" customFormat="1" x14ac:dyDescent="0.4"/>
    <row r="314" s="4" customFormat="1" x14ac:dyDescent="0.4"/>
    <row r="315" s="4" customFormat="1" x14ac:dyDescent="0.4"/>
    <row r="316" s="4" customFormat="1" x14ac:dyDescent="0.4"/>
    <row r="317" s="4" customFormat="1" x14ac:dyDescent="0.4"/>
    <row r="318" s="4" customFormat="1" x14ac:dyDescent="0.4"/>
    <row r="319" s="4" customFormat="1" x14ac:dyDescent="0.4"/>
    <row r="320" s="4" customFormat="1" x14ac:dyDescent="0.4"/>
    <row r="321" s="4" customFormat="1" x14ac:dyDescent="0.4"/>
    <row r="322" s="4" customFormat="1" x14ac:dyDescent="0.4"/>
    <row r="323" s="4" customFormat="1" x14ac:dyDescent="0.4"/>
    <row r="324" s="4" customFormat="1" x14ac:dyDescent="0.4"/>
    <row r="325" s="4" customFormat="1" x14ac:dyDescent="0.4"/>
    <row r="326" s="4" customFormat="1" x14ac:dyDescent="0.4"/>
    <row r="327" s="4" customFormat="1" x14ac:dyDescent="0.4"/>
    <row r="328" s="4" customFormat="1" x14ac:dyDescent="0.4"/>
    <row r="329" s="4" customFormat="1" x14ac:dyDescent="0.4"/>
    <row r="330" s="4" customFormat="1" x14ac:dyDescent="0.4"/>
    <row r="331" s="4" customFormat="1" x14ac:dyDescent="0.4"/>
    <row r="332" s="4" customFormat="1" x14ac:dyDescent="0.4"/>
    <row r="333" s="4" customFormat="1" x14ac:dyDescent="0.4"/>
    <row r="334" s="4" customFormat="1" x14ac:dyDescent="0.4"/>
    <row r="335" s="4" customFormat="1" x14ac:dyDescent="0.4"/>
    <row r="336" s="4" customFormat="1" x14ac:dyDescent="0.4"/>
    <row r="337" s="4" customFormat="1" x14ac:dyDescent="0.4"/>
    <row r="338" s="4" customFormat="1" x14ac:dyDescent="0.4"/>
    <row r="339" s="4" customFormat="1" x14ac:dyDescent="0.4"/>
    <row r="340" s="4" customFormat="1" x14ac:dyDescent="0.4"/>
    <row r="341" s="4" customFormat="1" x14ac:dyDescent="0.4"/>
    <row r="342" s="4" customFormat="1" x14ac:dyDescent="0.4"/>
    <row r="343" s="4" customFormat="1" x14ac:dyDescent="0.4"/>
    <row r="344" s="4" customFormat="1" x14ac:dyDescent="0.4"/>
    <row r="345" s="4" customFormat="1" x14ac:dyDescent="0.4"/>
    <row r="346" s="4" customFormat="1" x14ac:dyDescent="0.4"/>
    <row r="347" s="4" customFormat="1" x14ac:dyDescent="0.4"/>
    <row r="348" s="4" customFormat="1" x14ac:dyDescent="0.4"/>
    <row r="349" s="4" customFormat="1" x14ac:dyDescent="0.4"/>
    <row r="350" s="4" customFormat="1" x14ac:dyDescent="0.4"/>
    <row r="351" s="4" customFormat="1" x14ac:dyDescent="0.4"/>
    <row r="352" s="4" customFormat="1" x14ac:dyDescent="0.4"/>
    <row r="353" s="4" customFormat="1" x14ac:dyDescent="0.4"/>
    <row r="354" s="4" customFormat="1" x14ac:dyDescent="0.4"/>
    <row r="355" s="4" customFormat="1" x14ac:dyDescent="0.4"/>
    <row r="356" s="4" customFormat="1" x14ac:dyDescent="0.4"/>
    <row r="357" s="4" customFormat="1" x14ac:dyDescent="0.4"/>
    <row r="358" s="4" customFormat="1" x14ac:dyDescent="0.4"/>
    <row r="359" s="4" customFormat="1" x14ac:dyDescent="0.4"/>
    <row r="360" s="4" customFormat="1" x14ac:dyDescent="0.4"/>
    <row r="361" s="4" customFormat="1" x14ac:dyDescent="0.4"/>
    <row r="362" s="4" customFormat="1" x14ac:dyDescent="0.4"/>
    <row r="363" s="4" customFormat="1" x14ac:dyDescent="0.4"/>
    <row r="364" s="4" customFormat="1" x14ac:dyDescent="0.4"/>
    <row r="365" s="4" customFormat="1" x14ac:dyDescent="0.4"/>
    <row r="366" s="4" customFormat="1" x14ac:dyDescent="0.4"/>
    <row r="367" s="4" customFormat="1" x14ac:dyDescent="0.4"/>
    <row r="368" s="4" customFormat="1" x14ac:dyDescent="0.4"/>
    <row r="369" s="4" customFormat="1" x14ac:dyDescent="0.4"/>
    <row r="370" s="4" customFormat="1" x14ac:dyDescent="0.4"/>
    <row r="371" s="4" customFormat="1" x14ac:dyDescent="0.4"/>
    <row r="372" s="4" customFormat="1" x14ac:dyDescent="0.4"/>
    <row r="373" s="4" customFormat="1" x14ac:dyDescent="0.4"/>
    <row r="374" s="4" customFormat="1" x14ac:dyDescent="0.4"/>
    <row r="375" s="4" customFormat="1" x14ac:dyDescent="0.4"/>
    <row r="376" s="4" customFormat="1" x14ac:dyDescent="0.4"/>
    <row r="377" s="4" customFormat="1" x14ac:dyDescent="0.4"/>
    <row r="378" s="4" customFormat="1" x14ac:dyDescent="0.4"/>
    <row r="379" s="4" customFormat="1" x14ac:dyDescent="0.4"/>
    <row r="380" s="4" customFormat="1" x14ac:dyDescent="0.4"/>
    <row r="381" s="4" customFormat="1" x14ac:dyDescent="0.4"/>
    <row r="382" s="4" customFormat="1" x14ac:dyDescent="0.4"/>
    <row r="383" s="4" customFormat="1" x14ac:dyDescent="0.4"/>
    <row r="384" s="4" customFormat="1" x14ac:dyDescent="0.4"/>
    <row r="385" s="4" customFormat="1" x14ac:dyDescent="0.4"/>
    <row r="386" s="4" customFormat="1" x14ac:dyDescent="0.4"/>
    <row r="387" s="4" customFormat="1" x14ac:dyDescent="0.4"/>
    <row r="388" s="4" customFormat="1" x14ac:dyDescent="0.4"/>
    <row r="389" s="4" customFormat="1" x14ac:dyDescent="0.4"/>
    <row r="390" s="4" customFormat="1" x14ac:dyDescent="0.4"/>
    <row r="391" s="4" customFormat="1" x14ac:dyDescent="0.4"/>
    <row r="392" s="4" customFormat="1" x14ac:dyDescent="0.4"/>
    <row r="393" s="4" customFormat="1" x14ac:dyDescent="0.4"/>
    <row r="394" s="4" customFormat="1" x14ac:dyDescent="0.4"/>
    <row r="395" s="4" customFormat="1" x14ac:dyDescent="0.4"/>
    <row r="396" s="4" customFormat="1" x14ac:dyDescent="0.4"/>
    <row r="397" s="4" customFormat="1" x14ac:dyDescent="0.4"/>
    <row r="398" s="4" customFormat="1" x14ac:dyDescent="0.4"/>
    <row r="399" s="4" customFormat="1" x14ac:dyDescent="0.4"/>
    <row r="400" s="4" customFormat="1" x14ac:dyDescent="0.4"/>
    <row r="401" s="4" customFormat="1" x14ac:dyDescent="0.4"/>
    <row r="402" s="4" customFormat="1" x14ac:dyDescent="0.4"/>
    <row r="403" s="4" customFormat="1" x14ac:dyDescent="0.4"/>
    <row r="404" s="4" customFormat="1" x14ac:dyDescent="0.4"/>
    <row r="405" s="4" customFormat="1" x14ac:dyDescent="0.4"/>
    <row r="406" s="4" customFormat="1" x14ac:dyDescent="0.4"/>
    <row r="407" s="4" customFormat="1" x14ac:dyDescent="0.4"/>
    <row r="408" s="4" customFormat="1" x14ac:dyDescent="0.4"/>
    <row r="409" s="4" customFormat="1" x14ac:dyDescent="0.4"/>
    <row r="410" s="4" customFormat="1" x14ac:dyDescent="0.4"/>
    <row r="411" s="4" customFormat="1" x14ac:dyDescent="0.4"/>
    <row r="412" s="4" customFormat="1" x14ac:dyDescent="0.4"/>
    <row r="413" s="4" customFormat="1" x14ac:dyDescent="0.4"/>
    <row r="414" s="4" customFormat="1" x14ac:dyDescent="0.4"/>
    <row r="415" s="4" customFormat="1" x14ac:dyDescent="0.4"/>
    <row r="416" s="4" customFormat="1" x14ac:dyDescent="0.4"/>
    <row r="417" s="4" customFormat="1" x14ac:dyDescent="0.4"/>
    <row r="418" s="4" customFormat="1" x14ac:dyDescent="0.4"/>
    <row r="419" s="4" customFormat="1" x14ac:dyDescent="0.4"/>
    <row r="420" s="4" customFormat="1" x14ac:dyDescent="0.4"/>
    <row r="421" s="4" customFormat="1" x14ac:dyDescent="0.4"/>
    <row r="422" s="4" customFormat="1" x14ac:dyDescent="0.4"/>
    <row r="423" s="4" customFormat="1" x14ac:dyDescent="0.4"/>
    <row r="424" s="4" customFormat="1" x14ac:dyDescent="0.4"/>
    <row r="425" s="4" customFormat="1" x14ac:dyDescent="0.4"/>
    <row r="426" s="4" customFormat="1" x14ac:dyDescent="0.4"/>
    <row r="427" s="4" customFormat="1" x14ac:dyDescent="0.4"/>
    <row r="428" s="4" customFormat="1" x14ac:dyDescent="0.4"/>
    <row r="429" s="4" customFormat="1" x14ac:dyDescent="0.4"/>
    <row r="430" s="4" customFormat="1" x14ac:dyDescent="0.4"/>
    <row r="431" s="4" customFormat="1" x14ac:dyDescent="0.4"/>
    <row r="432" s="4" customFormat="1" x14ac:dyDescent="0.4"/>
    <row r="433" s="4" customFormat="1" x14ac:dyDescent="0.4"/>
    <row r="434" s="4" customFormat="1" x14ac:dyDescent="0.4"/>
    <row r="435" s="4" customFormat="1" x14ac:dyDescent="0.4"/>
    <row r="436" s="4" customFormat="1" x14ac:dyDescent="0.4"/>
    <row r="437" s="4" customFormat="1" x14ac:dyDescent="0.4"/>
    <row r="438" s="4" customFormat="1" x14ac:dyDescent="0.4"/>
    <row r="439" s="4" customFormat="1" x14ac:dyDescent="0.4"/>
    <row r="440" s="4" customFormat="1" x14ac:dyDescent="0.4"/>
    <row r="441" s="4" customFormat="1" x14ac:dyDescent="0.4"/>
    <row r="442" s="4" customFormat="1" x14ac:dyDescent="0.4"/>
    <row r="443" s="4" customFormat="1" x14ac:dyDescent="0.4"/>
    <row r="444" s="4" customFormat="1" x14ac:dyDescent="0.4"/>
    <row r="445" s="4" customFormat="1" x14ac:dyDescent="0.4"/>
    <row r="446" s="4" customFormat="1" x14ac:dyDescent="0.4"/>
    <row r="447" s="4" customFormat="1" x14ac:dyDescent="0.4"/>
    <row r="448" s="4" customFormat="1" x14ac:dyDescent="0.4"/>
    <row r="449" s="4" customFormat="1" x14ac:dyDescent="0.4"/>
    <row r="450" s="4" customFormat="1" x14ac:dyDescent="0.4"/>
    <row r="451" s="4" customFormat="1" x14ac:dyDescent="0.4"/>
    <row r="452" s="4" customFormat="1" x14ac:dyDescent="0.4"/>
  </sheetData>
  <mergeCells count="34">
    <mergeCell ref="C8:D8"/>
    <mergeCell ref="C4:D5"/>
    <mergeCell ref="C29:D29"/>
    <mergeCell ref="C7:D7"/>
    <mergeCell ref="E19:F19"/>
    <mergeCell ref="E20:F20"/>
    <mergeCell ref="F7:G7"/>
    <mergeCell ref="F8:G8"/>
    <mergeCell ref="E21:F21"/>
    <mergeCell ref="C22:D22"/>
    <mergeCell ref="E22:F22"/>
    <mergeCell ref="C24:G24"/>
    <mergeCell ref="C18:D18"/>
    <mergeCell ref="B38:G38"/>
    <mergeCell ref="C33:G33"/>
    <mergeCell ref="C34:G34"/>
    <mergeCell ref="B36:D36"/>
    <mergeCell ref="B35:D35"/>
    <mergeCell ref="C32:G32"/>
    <mergeCell ref="C10:D10"/>
    <mergeCell ref="C17:D17"/>
    <mergeCell ref="C19:D19"/>
    <mergeCell ref="C9:D9"/>
    <mergeCell ref="C28:D28"/>
    <mergeCell ref="C12:D12"/>
    <mergeCell ref="C11:D11"/>
    <mergeCell ref="C27:G27"/>
    <mergeCell ref="C31:G31"/>
    <mergeCell ref="F10:G10"/>
    <mergeCell ref="C16:D16"/>
    <mergeCell ref="C30:G30"/>
    <mergeCell ref="C20:D20"/>
    <mergeCell ref="F9:G9"/>
    <mergeCell ref="C21:D21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2025-02-27T06:59:45Z</cp:lastPrinted>
  <dcterms:created xsi:type="dcterms:W3CDTF">1999-12-09T02:36:51Z</dcterms:created>
  <dcterms:modified xsi:type="dcterms:W3CDTF">2025-05-28T08:52:06Z</dcterms:modified>
</cp:coreProperties>
</file>