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C:\Users\jeremy\Desktop\客戶資料\智匯亞洲科技\"/>
    </mc:Choice>
  </mc:AlternateContent>
  <xr:revisionPtr revIDLastSave="0" documentId="13_ncr:1_{4528037B-0E15-4D78-93D1-789F446E2105}" xr6:coauthVersionLast="47" xr6:coauthVersionMax="47" xr10:uidLastSave="{00000000-0000-0000-0000-000000000000}"/>
  <bookViews>
    <workbookView xWindow="-28920" yWindow="-1665" windowWidth="29040" windowHeight="15720" tabRatio="458" xr2:uid="{4019DCC0-B6F9-4BF6-B53B-8CC64F7C310E}"/>
  </bookViews>
  <sheets>
    <sheet name="一年保固" sheetId="7" r:id="rId1"/>
  </sheets>
  <definedNames>
    <definedName name="_xlnm.Print_Area" localSheetId="0">一年保固!$A$1:$G$35</definedName>
  </definedNames>
  <calcPr calcId="191029"/>
</workbook>
</file>

<file path=xl/calcChain.xml><?xml version="1.0" encoding="utf-8"?>
<calcChain xmlns="http://schemas.openxmlformats.org/spreadsheetml/2006/main">
  <c r="G19" i="7" l="1"/>
  <c r="G20" i="7"/>
  <c r="G21" i="7"/>
  <c r="G17" i="7"/>
  <c r="G18" i="7"/>
  <c r="G23" i="7" l="1"/>
  <c r="G24" i="7" s="1"/>
</calcChain>
</file>

<file path=xl/sharedStrings.xml><?xml version="1.0" encoding="utf-8"?>
<sst xmlns="http://schemas.openxmlformats.org/spreadsheetml/2006/main" count="53" uniqueCount="53">
  <si>
    <t>數量</t>
  </si>
  <si>
    <t>項次</t>
    <phoneticPr fontId="3" type="noConversion"/>
  </si>
  <si>
    <t>小計</t>
    <phoneticPr fontId="2" type="noConversion"/>
  </si>
  <si>
    <t xml:space="preserve">  </t>
    <phoneticPr fontId="3" type="noConversion"/>
  </si>
  <si>
    <t>顯赫資訊股份有限公司</t>
    <phoneticPr fontId="2" type="noConversion"/>
  </si>
  <si>
    <r>
      <t>貴公司所詢問之產品</t>
    </r>
    <r>
      <rPr>
        <b/>
        <sz val="24"/>
        <rFont val="Times New Roman"/>
        <family val="1"/>
      </rPr>
      <t>,</t>
    </r>
    <r>
      <rPr>
        <b/>
        <sz val="24"/>
        <rFont val="新細明體"/>
        <family val="1"/>
        <charset val="136"/>
      </rPr>
      <t>報價如下</t>
    </r>
    <r>
      <rPr>
        <b/>
        <sz val="24"/>
        <rFont val="Times New Roman"/>
        <family val="1"/>
      </rPr>
      <t>:</t>
    </r>
    <phoneticPr fontId="3" type="noConversion"/>
  </si>
  <si>
    <t>產品名稱</t>
    <phoneticPr fontId="2" type="noConversion"/>
  </si>
  <si>
    <t>規格</t>
    <phoneticPr fontId="2" type="noConversion"/>
  </si>
  <si>
    <t>單價</t>
    <phoneticPr fontId="3" type="noConversion"/>
  </si>
  <si>
    <t>Remark   :</t>
    <phoneticPr fontId="2" type="noConversion"/>
  </si>
  <si>
    <t>本報價單於取得客戶之同意簽章後，視為正式訂單即刻生效。</t>
    <phoneticPr fontId="16" type="noConversion"/>
  </si>
  <si>
    <t>保固條件：</t>
    <phoneticPr fontId="3" type="noConversion"/>
  </si>
  <si>
    <t>Signature</t>
    <phoneticPr fontId="3" type="noConversion"/>
  </si>
  <si>
    <t xml:space="preserve">報價日期  :    </t>
    <phoneticPr fontId="2" type="noConversion"/>
  </si>
  <si>
    <t xml:space="preserve">聯絡人:   </t>
    <phoneticPr fontId="3" type="noConversion"/>
  </si>
  <si>
    <t xml:space="preserve">電話 :  </t>
    <phoneticPr fontId="2" type="noConversion"/>
  </si>
  <si>
    <t xml:space="preserve">傳真 :    </t>
    <phoneticPr fontId="2" type="noConversion"/>
  </si>
  <si>
    <t>付款條件：</t>
    <phoneticPr fontId="3" type="noConversion"/>
  </si>
  <si>
    <t>02-8226-9211</t>
    <phoneticPr fontId="3" type="noConversion"/>
  </si>
  <si>
    <t>地址：新北市中和區建一路166號13樓之3</t>
    <phoneticPr fontId="3" type="noConversion"/>
  </si>
  <si>
    <t xml:space="preserve">E-Mail  : </t>
    <phoneticPr fontId="3" type="noConversion"/>
  </si>
  <si>
    <t>專案名稱 :</t>
    <phoneticPr fontId="3" type="noConversion"/>
  </si>
  <si>
    <t>未稅小計：</t>
    <phoneticPr fontId="3" type="noConversion"/>
  </si>
  <si>
    <t>含稅金額：</t>
    <phoneticPr fontId="3" type="noConversion"/>
  </si>
  <si>
    <t>統一編號：80426746</t>
    <phoneticPr fontId="3" type="noConversion"/>
  </si>
  <si>
    <t>黃默涵 0938888339</t>
    <phoneticPr fontId="3" type="noConversion"/>
  </si>
  <si>
    <t>02-8226-9200#120</t>
    <phoneticPr fontId="3" type="noConversion"/>
  </si>
  <si>
    <t xml:space="preserve">公 司 名 稱  :  </t>
    <phoneticPr fontId="2" type="noConversion"/>
  </si>
  <si>
    <t xml:space="preserve">聯    絡  人   :  </t>
    <phoneticPr fontId="3" type="noConversion"/>
  </si>
  <si>
    <t xml:space="preserve">聯 絡 電 話  :  </t>
    <phoneticPr fontId="3" type="noConversion"/>
  </si>
  <si>
    <t xml:space="preserve">公 司 電 話  : </t>
    <phoneticPr fontId="3" type="noConversion"/>
  </si>
  <si>
    <t>單位：新台幣 元</t>
    <phoneticPr fontId="3" type="noConversion"/>
  </si>
  <si>
    <t>1. 報價單有效期限為 即日起三十日內(含假日)有效</t>
    <phoneticPr fontId="2" type="noConversion"/>
  </si>
  <si>
    <t>2</t>
    <phoneticPr fontId="3" type="noConversion"/>
  </si>
  <si>
    <t>智匯亞洲科技股份有限公司</t>
    <phoneticPr fontId="3" type="noConversion"/>
  </si>
  <si>
    <t>886 2 8502-7258</t>
    <phoneticPr fontId="3" type="noConversion"/>
  </si>
  <si>
    <t>客制化功能</t>
    <phoneticPr fontId="3" type="noConversion"/>
  </si>
  <si>
    <t>3</t>
    <phoneticPr fontId="3" type="noConversion"/>
  </si>
  <si>
    <t>4</t>
    <phoneticPr fontId="3" type="noConversion"/>
  </si>
  <si>
    <t>Sabrina Sun</t>
    <phoneticPr fontId="3" type="noConversion"/>
  </si>
  <si>
    <t>886 975 505 617</t>
    <phoneticPr fontId="3" type="noConversion"/>
  </si>
  <si>
    <t>sabrinasun@commverge.com</t>
    <phoneticPr fontId="3" type="noConversion"/>
  </si>
  <si>
    <t>配合本案之相關客製化開發 : 
-系統備份之還原機制及告警開發
-自動備份機制開發
-納管設備開發 IP Part &amp; Mobile Part。IP Part之GUI呈現及Mobile Part (撈取資料、轉換格式、北向拋出)
-IP Part (juniper EX/SRX/SRR and A10 Thunder 1060s, Mobile Part Druid Raemis (SNMP + Curl) Ecisson BTS/Dell iDRAC/Proxmox VE/Rocky Linux)
-整合客戶端OSS Splunk</t>
    <phoneticPr fontId="3" type="noConversion"/>
  </si>
  <si>
    <t xml:space="preserve"> 專案管理及教育訓練 </t>
    <phoneticPr fontId="3" type="noConversion"/>
  </si>
  <si>
    <t>網管系統安全開發文件, 專案文件, 測試及驗證計劃書、驗收計劃書等文件製作, 
專案開發管理, 會議參與。並包含此案完成後之教育訓練</t>
    <phoneticPr fontId="3" type="noConversion"/>
  </si>
  <si>
    <t xml:space="preserve">智慧網管系統 (License)
</t>
    <phoneticPr fontId="3" type="noConversion"/>
  </si>
  <si>
    <t>Siraya Radar Pro 智慧網管系統 
-客製化網管系統 
-日誌系統分析模組、關鍵字告警
-NetFlow/sFlow 產生、接收、分析、統計、再傳送
-支援HTML5 及RESTful
-網路拓樸進階功能 (含本專案之拓譜客製)
-即時警訊通知
- HA: Service and DB High Availablity license</t>
    <phoneticPr fontId="3" type="noConversion"/>
  </si>
  <si>
    <t>網管系統建置</t>
    <phoneticPr fontId="3" type="noConversion"/>
  </si>
  <si>
    <t>客戶端網管系統建置費用</t>
    <phoneticPr fontId="3" type="noConversion"/>
  </si>
  <si>
    <r>
      <rPr>
        <sz val="16"/>
        <rFont val="Microsoft JhengHei UI"/>
        <family val="1"/>
        <charset val="136"/>
      </rPr>
      <t>四</t>
    </r>
    <r>
      <rPr>
        <sz val="16"/>
        <rFont val="新細明體"/>
        <family val="1"/>
        <charset val="136"/>
      </rPr>
      <t>年保固 (裝機後一年保固為本司提供，額外購買四年保固，報固期間提供5*8 Service for Siraya System) 保固至2031/12/31
-含Phase 3 Phase4新設備之整合</t>
    </r>
    <phoneticPr fontId="3" type="noConversion"/>
  </si>
  <si>
    <t>5</t>
    <phoneticPr fontId="3" type="noConversion"/>
  </si>
  <si>
    <t xml:space="preserve">項次1-4於2026驗收後月結45天
項次5於2028, 2029, 2030, 2031維護後開發票請款，月結45天
</t>
    <phoneticPr fontId="3" type="noConversion"/>
  </si>
  <si>
    <t>20251224-01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</si>
</sst>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76" formatCode="_-* #,##0_-;\-* #,##0_-;_-* &quot;-&quot;??_-;_-@_-"/>
    <numFmt numFmtId="177" formatCode="#,##0_);[Red]\(#,##0\)"/>
  </numFmts>
  <fonts count="29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0"/>
      <name val="Times New Roman"/>
      <family val="1"/>
    </font>
    <font>
      <sz val="9"/>
      <name val="新細明體"/>
      <family val="1"/>
      <charset val="136"/>
    </font>
    <font>
      <u/>
      <sz val="9"/>
      <color indexed="12"/>
      <name val="新細明體"/>
      <family val="1"/>
      <charset val="136"/>
    </font>
    <font>
      <sz val="14"/>
      <name val="新細明體"/>
      <family val="1"/>
      <charset val="136"/>
    </font>
    <font>
      <sz val="16"/>
      <name val="新細明體"/>
      <family val="1"/>
      <charset val="136"/>
    </font>
    <font>
      <b/>
      <sz val="14"/>
      <name val="新細明體"/>
      <family val="1"/>
      <charset val="136"/>
    </font>
    <font>
      <b/>
      <sz val="16"/>
      <name val="新細明體"/>
      <family val="1"/>
      <charset val="136"/>
    </font>
    <font>
      <b/>
      <sz val="20"/>
      <name val="新細明體"/>
      <family val="1"/>
      <charset val="136"/>
    </font>
    <font>
      <sz val="20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b/>
      <sz val="24"/>
      <name val="Times New Roman"/>
      <family val="1"/>
    </font>
    <font>
      <sz val="14"/>
      <name val="Times New Roman"/>
      <family val="1"/>
    </font>
    <font>
      <b/>
      <sz val="24"/>
      <name val="新細明體"/>
      <family val="1"/>
      <charset val="136"/>
    </font>
    <font>
      <sz val="9"/>
      <name val="細明體"/>
      <family val="3"/>
    </font>
    <font>
      <sz val="12"/>
      <name val="新細明體"/>
      <family val="1"/>
      <charset val="136"/>
      <scheme val="minor"/>
    </font>
    <font>
      <sz val="16"/>
      <name val="新細明體"/>
      <family val="1"/>
      <charset val="136"/>
      <scheme val="minor"/>
    </font>
    <font>
      <b/>
      <sz val="20"/>
      <name val="新細明體"/>
      <family val="1"/>
      <charset val="136"/>
      <scheme val="minor"/>
    </font>
    <font>
      <sz val="20"/>
      <name val="新細明體"/>
      <family val="1"/>
      <charset val="136"/>
      <scheme val="minor"/>
    </font>
    <font>
      <sz val="24"/>
      <name val="新細明體"/>
      <family val="1"/>
      <charset val="136"/>
      <scheme val="minor"/>
    </font>
    <font>
      <b/>
      <sz val="16"/>
      <name val="新細明體"/>
      <family val="1"/>
      <charset val="136"/>
      <scheme val="minor"/>
    </font>
    <font>
      <sz val="16"/>
      <color rgb="FF222222"/>
      <name val="新細明體"/>
      <family val="1"/>
      <charset val="136"/>
    </font>
    <font>
      <sz val="16"/>
      <color indexed="8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20"/>
      <color rgb="FF222222"/>
      <name val="新細明體"/>
      <family val="1"/>
      <charset val="136"/>
    </font>
    <font>
      <u/>
      <sz val="20"/>
      <color indexed="12"/>
      <name val="新細明體"/>
      <family val="1"/>
      <charset val="136"/>
    </font>
    <font>
      <sz val="16"/>
      <name val="Microsoft JhengHei UI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</cellStyleXfs>
  <cellXfs count="92">
    <xf numFmtId="0" fontId="0" fillId="0" borderId="0" xfId="0"/>
    <xf numFmtId="0" fontId="6" fillId="0" borderId="0" xfId="0" applyFont="1"/>
    <xf numFmtId="0" fontId="6" fillId="0" borderId="0" xfId="0" applyFont="1" applyAlignment="1">
      <alignment horizontal="left"/>
    </xf>
    <xf numFmtId="0" fontId="5" fillId="0" borderId="0" xfId="0" applyFont="1"/>
    <xf numFmtId="49" fontId="6" fillId="0" borderId="0" xfId="0" applyNumberFormat="1" applyFont="1" applyAlignment="1">
      <alignment horizontal="center"/>
    </xf>
    <xf numFmtId="0" fontId="10" fillId="0" borderId="0" xfId="0" applyFont="1"/>
    <xf numFmtId="0" fontId="11" fillId="0" borderId="0" xfId="0" applyFont="1"/>
    <xf numFmtId="14" fontId="9" fillId="0" borderId="2" xfId="0" applyNumberFormat="1" applyFont="1" applyBorder="1"/>
    <xf numFmtId="14" fontId="9" fillId="0" borderId="0" xfId="0" applyNumberFormat="1" applyFont="1"/>
    <xf numFmtId="0" fontId="9" fillId="0" borderId="0" xfId="0" applyFont="1"/>
    <xf numFmtId="0" fontId="12" fillId="0" borderId="0" xfId="0" applyFont="1"/>
    <xf numFmtId="0" fontId="6" fillId="0" borderId="0" xfId="0" applyFont="1" applyAlignment="1">
      <alignment wrapText="1"/>
    </xf>
    <xf numFmtId="0" fontId="7" fillId="0" borderId="0" xfId="0" applyFont="1" applyAlignment="1">
      <alignment horizontal="left"/>
    </xf>
    <xf numFmtId="0" fontId="11" fillId="0" borderId="0" xfId="0" applyFont="1" applyAlignment="1">
      <alignment wrapText="1"/>
    </xf>
    <xf numFmtId="0" fontId="14" fillId="0" borderId="0" xfId="0" applyFont="1"/>
    <xf numFmtId="0" fontId="15" fillId="0" borderId="0" xfId="0" applyFont="1"/>
    <xf numFmtId="0" fontId="11" fillId="2" borderId="0" xfId="0" applyFont="1" applyFill="1"/>
    <xf numFmtId="0" fontId="8" fillId="3" borderId="6" xfId="0" applyFont="1" applyFill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0" fontId="11" fillId="2" borderId="0" xfId="0" applyFont="1" applyFill="1" applyAlignment="1">
      <alignment vertical="center"/>
    </xf>
    <xf numFmtId="0" fontId="18" fillId="0" borderId="0" xfId="0" applyFont="1"/>
    <xf numFmtId="0" fontId="20" fillId="0" borderId="0" xfId="0" applyFont="1" applyAlignment="1">
      <alignment wrapText="1"/>
    </xf>
    <xf numFmtId="0" fontId="20" fillId="0" borderId="0" xfId="0" applyFont="1"/>
    <xf numFmtId="0" fontId="19" fillId="0" borderId="0" xfId="0" applyFont="1"/>
    <xf numFmtId="0" fontId="20" fillId="0" borderId="0" xfId="0" applyFont="1" applyAlignment="1">
      <alignment horizontal="left" wrapText="1"/>
    </xf>
    <xf numFmtId="0" fontId="18" fillId="0" borderId="0" xfId="0" applyFont="1" applyAlignment="1">
      <alignment wrapText="1"/>
    </xf>
    <xf numFmtId="0" fontId="18" fillId="0" borderId="1" xfId="0" applyFont="1" applyBorder="1"/>
    <xf numFmtId="0" fontId="18" fillId="0" borderId="1" xfId="0" applyFont="1" applyBorder="1" applyAlignment="1">
      <alignment wrapText="1"/>
    </xf>
    <xf numFmtId="58" fontId="19" fillId="0" borderId="2" xfId="0" applyNumberFormat="1" applyFont="1" applyBorder="1" applyAlignment="1">
      <alignment horizontal="right"/>
    </xf>
    <xf numFmtId="0" fontId="19" fillId="0" borderId="0" xfId="0" applyFont="1" applyAlignment="1">
      <alignment horizontal="right"/>
    </xf>
    <xf numFmtId="49" fontId="19" fillId="0" borderId="0" xfId="0" applyNumberFormat="1" applyFont="1" applyAlignment="1">
      <alignment horizontal="left"/>
    </xf>
    <xf numFmtId="0" fontId="21" fillId="0" borderId="0" xfId="0" applyFont="1"/>
    <xf numFmtId="0" fontId="17" fillId="0" borderId="0" xfId="0" applyFont="1" applyAlignment="1">
      <alignment wrapText="1"/>
    </xf>
    <xf numFmtId="0" fontId="17" fillId="0" borderId="0" xfId="0" applyFont="1"/>
    <xf numFmtId="176" fontId="22" fillId="0" borderId="0" xfId="1" applyNumberFormat="1" applyFont="1" applyBorder="1" applyAlignment="1">
      <alignment horizontal="left"/>
    </xf>
    <xf numFmtId="176" fontId="22" fillId="0" borderId="0" xfId="1" applyNumberFormat="1" applyFont="1" applyBorder="1" applyAlignment="1">
      <alignment horizontal="left" wrapText="1"/>
    </xf>
    <xf numFmtId="176" fontId="8" fillId="3" borderId="4" xfId="1" applyNumberFormat="1" applyFont="1" applyFill="1" applyBorder="1" applyAlignment="1">
      <alignment horizontal="left"/>
    </xf>
    <xf numFmtId="176" fontId="8" fillId="3" borderId="4" xfId="1" applyNumberFormat="1" applyFont="1" applyFill="1" applyBorder="1" applyAlignment="1">
      <alignment horizontal="left" wrapText="1"/>
    </xf>
    <xf numFmtId="176" fontId="8" fillId="3" borderId="5" xfId="1" applyNumberFormat="1" applyFont="1" applyFill="1" applyBorder="1" applyAlignment="1">
      <alignment horizontal="left"/>
    </xf>
    <xf numFmtId="177" fontId="6" fillId="4" borderId="3" xfId="1" applyNumberFormat="1" applyFont="1" applyFill="1" applyBorder="1" applyAlignment="1">
      <alignment horizontal="right" vertical="center" wrapText="1"/>
    </xf>
    <xf numFmtId="177" fontId="5" fillId="4" borderId="3" xfId="1" applyNumberFormat="1" applyFont="1" applyFill="1" applyBorder="1" applyAlignment="1">
      <alignment horizontal="right" vertical="center"/>
    </xf>
    <xf numFmtId="177" fontId="6" fillId="4" borderId="7" xfId="1" applyNumberFormat="1" applyFont="1" applyFill="1" applyBorder="1" applyAlignment="1">
      <alignment horizontal="right" vertical="center"/>
    </xf>
    <xf numFmtId="49" fontId="6" fillId="0" borderId="3" xfId="1" applyNumberFormat="1" applyFont="1" applyFill="1" applyBorder="1" applyAlignment="1">
      <alignment horizontal="left" vertical="top" wrapText="1"/>
    </xf>
    <xf numFmtId="177" fontId="6" fillId="4" borderId="9" xfId="1" applyNumberFormat="1" applyFont="1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5" fillId="0" borderId="3" xfId="0" applyFon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177" fontId="6" fillId="0" borderId="3" xfId="0" applyNumberFormat="1" applyFont="1" applyBorder="1" applyAlignment="1">
      <alignment horizontal="right" vertical="center"/>
    </xf>
    <xf numFmtId="177" fontId="6" fillId="0" borderId="3" xfId="0" applyNumberFormat="1" applyFont="1" applyBorder="1" applyAlignment="1">
      <alignment vertical="center"/>
    </xf>
    <xf numFmtId="0" fontId="5" fillId="0" borderId="3" xfId="0" applyFont="1" applyBorder="1" applyAlignment="1">
      <alignment horizontal="right" vertical="center"/>
    </xf>
    <xf numFmtId="177" fontId="24" fillId="0" borderId="3" xfId="0" applyNumberFormat="1" applyFont="1" applyBorder="1" applyAlignment="1">
      <alignment horizontal="right" vertical="center"/>
    </xf>
    <xf numFmtId="0" fontId="5" fillId="0" borderId="0" xfId="0" applyFont="1" applyAlignment="1">
      <alignment horizontal="right" vertical="center"/>
    </xf>
    <xf numFmtId="49" fontId="6" fillId="0" borderId="0" xfId="1" applyNumberFormat="1" applyFont="1" applyFill="1" applyBorder="1" applyAlignment="1">
      <alignment horizontal="left" wrapText="1"/>
    </xf>
    <xf numFmtId="176" fontId="24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right"/>
    </xf>
    <xf numFmtId="177" fontId="24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left"/>
    </xf>
    <xf numFmtId="0" fontId="10" fillId="0" borderId="0" xfId="0" applyFont="1" applyAlignment="1">
      <alignment wrapText="1"/>
    </xf>
    <xf numFmtId="0" fontId="26" fillId="0" borderId="0" xfId="0" applyFont="1" applyAlignment="1">
      <alignment vertical="center"/>
    </xf>
    <xf numFmtId="0" fontId="26" fillId="0" borderId="0" xfId="0" applyFont="1"/>
    <xf numFmtId="49" fontId="10" fillId="0" borderId="0" xfId="2" applyNumberFormat="1" applyFont="1" applyAlignment="1" applyProtection="1"/>
    <xf numFmtId="49" fontId="6" fillId="0" borderId="3" xfId="0" applyNumberFormat="1" applyFont="1" applyBorder="1" applyAlignment="1">
      <alignment horizontal="center" vertical="center"/>
    </xf>
    <xf numFmtId="0" fontId="4" fillId="0" borderId="0" xfId="2" applyAlignment="1" applyProtection="1"/>
    <xf numFmtId="0" fontId="27" fillId="0" borderId="0" xfId="2" applyFont="1" applyAlignment="1" applyProtection="1"/>
    <xf numFmtId="0" fontId="5" fillId="0" borderId="0" xfId="0" applyFont="1" applyAlignment="1">
      <alignment horizontal="left"/>
    </xf>
    <xf numFmtId="177" fontId="24" fillId="0" borderId="3" xfId="0" applyNumberFormat="1" applyFont="1" applyBorder="1" applyAlignment="1">
      <alignment horizontal="right" vertical="center"/>
    </xf>
    <xf numFmtId="177" fontId="24" fillId="0" borderId="3" xfId="0" applyNumberFormat="1" applyFont="1" applyBorder="1" applyAlignment="1">
      <alignment vertical="center"/>
    </xf>
    <xf numFmtId="0" fontId="6" fillId="0" borderId="0" xfId="0" applyFont="1" applyAlignment="1">
      <alignment horizontal="justify"/>
    </xf>
    <xf numFmtId="0" fontId="0" fillId="0" borderId="0" xfId="0"/>
    <xf numFmtId="0" fontId="8" fillId="0" borderId="8" xfId="0" applyFont="1" applyBorder="1" applyAlignment="1">
      <alignment horizontal="left"/>
    </xf>
    <xf numFmtId="0" fontId="0" fillId="0" borderId="8" xfId="0" applyBorder="1"/>
    <xf numFmtId="0" fontId="24" fillId="0" borderId="0" xfId="0" applyFont="1" applyAlignment="1">
      <alignment horizontal="right" vertical="center"/>
    </xf>
    <xf numFmtId="0" fontId="25" fillId="0" borderId="0" xfId="0" applyFont="1" applyAlignment="1">
      <alignment vertical="center"/>
    </xf>
    <xf numFmtId="0" fontId="20" fillId="0" borderId="0" xfId="0" applyFont="1"/>
    <xf numFmtId="176" fontId="8" fillId="3" borderId="4" xfId="1" applyNumberFormat="1" applyFont="1" applyFill="1" applyBorder="1" applyAlignment="1">
      <alignment horizontal="left" wrapText="1"/>
    </xf>
    <xf numFmtId="0" fontId="0" fillId="0" borderId="4" xfId="0" applyBorder="1"/>
    <xf numFmtId="177" fontId="6" fillId="0" borderId="9" xfId="0" applyNumberFormat="1" applyFont="1" applyBorder="1" applyAlignment="1">
      <alignment horizontal="right" vertical="center"/>
    </xf>
    <xf numFmtId="177" fontId="6" fillId="0" borderId="10" xfId="0" applyNumberFormat="1" applyFont="1" applyBorder="1" applyAlignment="1">
      <alignment horizontal="right" vertical="center"/>
    </xf>
    <xf numFmtId="49" fontId="6" fillId="4" borderId="3" xfId="0" applyNumberFormat="1" applyFont="1" applyFill="1" applyBorder="1" applyAlignment="1">
      <alignment horizontal="left" vertical="center" wrapText="1"/>
    </xf>
    <xf numFmtId="176" fontId="6" fillId="0" borderId="3" xfId="1" applyNumberFormat="1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49" fontId="6" fillId="4" borderId="3" xfId="1" applyNumberFormat="1" applyFont="1" applyFill="1" applyBorder="1" applyAlignment="1">
      <alignment horizontal="left" vertical="center" wrapText="1"/>
    </xf>
    <xf numFmtId="49" fontId="6" fillId="0" borderId="9" xfId="1" applyNumberFormat="1" applyFont="1" applyFill="1" applyBorder="1" applyAlignment="1">
      <alignment horizontal="left" vertical="center" wrapText="1"/>
    </xf>
    <xf numFmtId="0" fontId="0" fillId="0" borderId="10" xfId="0" applyBorder="1" applyAlignment="1">
      <alignment horizontal="left" vertical="center"/>
    </xf>
    <xf numFmtId="0" fontId="23" fillId="0" borderId="9" xfId="0" applyFont="1" applyBorder="1" applyAlignment="1">
      <alignment vertical="center"/>
    </xf>
    <xf numFmtId="0" fontId="0" fillId="0" borderId="10" xfId="0" applyBorder="1" applyAlignment="1">
      <alignment vertical="center"/>
    </xf>
    <xf numFmtId="0" fontId="23" fillId="0" borderId="9" xfId="0" applyFont="1" applyBorder="1" applyAlignment="1">
      <alignment vertical="center" wrapText="1"/>
    </xf>
    <xf numFmtId="49" fontId="6" fillId="0" borderId="3" xfId="1" applyNumberFormat="1" applyFont="1" applyFill="1" applyBorder="1" applyAlignment="1">
      <alignment horizontal="left" vertical="center" wrapText="1"/>
    </xf>
    <xf numFmtId="0" fontId="6" fillId="0" borderId="3" xfId="0" applyFont="1" applyBorder="1" applyAlignment="1">
      <alignment horizontal="left" vertical="center"/>
    </xf>
    <xf numFmtId="0" fontId="6" fillId="4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top"/>
    </xf>
    <xf numFmtId="49" fontId="6" fillId="0" borderId="3" xfId="1" applyNumberFormat="1" applyFont="1" applyFill="1" applyBorder="1" applyAlignment="1">
      <alignment vertical="top" wrapText="1"/>
    </xf>
  </cellXfs>
  <cellStyles count="3">
    <cellStyle name="一般" xfId="0" builtinId="0"/>
    <cellStyle name="千分位" xfId="1" builtinId="3"/>
    <cellStyle name="超連結" xfId="2" builtinId="8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742950</xdr:colOff>
      <xdr:row>3</xdr:row>
      <xdr:rowOff>73025</xdr:rowOff>
    </xdr:from>
    <xdr:to>
      <xdr:col>3</xdr:col>
      <xdr:colOff>4335340</xdr:colOff>
      <xdr:row>5</xdr:row>
      <xdr:rowOff>68</xdr:rowOff>
    </xdr:to>
    <xdr:sp macro="" textlink="">
      <xdr:nvSpPr>
        <xdr:cNvPr id="10241" name="Text Box 1">
          <a:extLst>
            <a:ext uri="{FF2B5EF4-FFF2-40B4-BE49-F238E27FC236}">
              <a16:creationId xmlns:a16="http://schemas.microsoft.com/office/drawing/2014/main" id="{11FFEAE3-B1B0-848B-F86F-60EF1254D21D}"/>
            </a:ext>
          </a:extLst>
        </xdr:cNvPr>
        <xdr:cNvSpPr txBox="1">
          <a:spLocks noChangeArrowheads="1"/>
        </xdr:cNvSpPr>
      </xdr:nvSpPr>
      <xdr:spPr bwMode="auto">
        <a:xfrm>
          <a:off x="5013960" y="731520"/>
          <a:ext cx="1623060" cy="8610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zh-TW" altLang="en-US"/>
        </a:p>
      </xdr:txBody>
    </xdr:sp>
    <xdr:clientData/>
  </xdr:twoCellAnchor>
  <xdr:twoCellAnchor>
    <xdr:from>
      <xdr:col>2</xdr:col>
      <xdr:colOff>60325</xdr:colOff>
      <xdr:row>2</xdr:row>
      <xdr:rowOff>0</xdr:rowOff>
    </xdr:from>
    <xdr:to>
      <xdr:col>3</xdr:col>
      <xdr:colOff>4638767</xdr:colOff>
      <xdr:row>5</xdr:row>
      <xdr:rowOff>79427</xdr:rowOff>
    </xdr:to>
    <xdr:sp macro="" textlink="">
      <xdr:nvSpPr>
        <xdr:cNvPr id="10242" name="Text Box 2">
          <a:extLst>
            <a:ext uri="{FF2B5EF4-FFF2-40B4-BE49-F238E27FC236}">
              <a16:creationId xmlns:a16="http://schemas.microsoft.com/office/drawing/2014/main" id="{EEA490CC-4769-8A1B-3275-EE4F6215E56F}"/>
            </a:ext>
          </a:extLst>
        </xdr:cNvPr>
        <xdr:cNvSpPr txBox="1">
          <a:spLocks noChangeArrowheads="1"/>
        </xdr:cNvSpPr>
      </xdr:nvSpPr>
      <xdr:spPr bwMode="auto">
        <a:xfrm>
          <a:off x="2651760" y="419100"/>
          <a:ext cx="4594860" cy="12115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82296" tIns="73152" rIns="82296" bIns="0" anchor="t" upright="1"/>
        <a:lstStyle/>
        <a:p>
          <a:pPr algn="ctr" rtl="0">
            <a:defRPr sz="1000"/>
          </a:pPr>
          <a:r>
            <a:rPr lang="zh-TW" altLang="en-US" sz="36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QUOTATION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abrinasun@commverg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9DFD7-65A5-4EF8-9718-1BB938B376BC}">
  <sheetPr>
    <pageSetUpPr fitToPage="1"/>
  </sheetPr>
  <dimension ref="A1:H450"/>
  <sheetViews>
    <sheetView tabSelected="1" view="pageBreakPreview" topLeftCell="A14" zoomScale="75" zoomScaleNormal="75" zoomScaleSheetLayoutView="75" workbookViewId="0">
      <selection activeCell="B20" sqref="B20"/>
    </sheetView>
  </sheetViews>
  <sheetFormatPr defaultColWidth="9" defaultRowHeight="16.149999999999999" x14ac:dyDescent="0.45"/>
  <cols>
    <col min="1" max="1" width="7.33203125" style="6" customWidth="1"/>
    <col min="2" max="2" width="29.53125" style="6" customWidth="1"/>
    <col min="3" max="3" width="39" style="6" customWidth="1"/>
    <col min="4" max="4" width="66.46484375" style="13" customWidth="1"/>
    <col min="5" max="5" width="20.06640625" style="13" customWidth="1"/>
    <col min="6" max="6" width="13" style="6" customWidth="1"/>
    <col min="7" max="7" width="21.06640625" style="6" customWidth="1"/>
    <col min="8" max="16384" width="9" style="6"/>
  </cols>
  <sheetData>
    <row r="1" spans="1:7" x14ac:dyDescent="0.45">
      <c r="C1"/>
    </row>
    <row r="3" spans="1:7" ht="22.9" x14ac:dyDescent="0.7">
      <c r="A3" s="3"/>
      <c r="B3" s="1"/>
      <c r="C3" s="1"/>
      <c r="D3" s="11"/>
      <c r="E3" s="11"/>
      <c r="F3" s="1"/>
      <c r="G3" s="1"/>
    </row>
    <row r="4" spans="1:7" s="6" customFormat="1" ht="40.15" ph="1" x14ac:dyDescent="0.85">
      <c r="A4" s="14" t="s" ph="1">
        <v>3</v>
      </c>
      <c r="B4" s="20" ph="1"/>
      <c r="C4" s="20" ph="1"/>
      <c r="D4" s="25" ph="1"/>
      <c r="E4" s="23" t="s" ph="1">
        <v>4</v>
      </c>
      <c r="F4" s="22" ph="1"/>
      <c r="G4" s="22" ph="1"/>
    </row>
    <row r="5" spans="1:7" ht="28.15" x14ac:dyDescent="0.85">
      <c r="A5" s="3"/>
      <c r="B5" s="20"/>
      <c r="C5" s="20"/>
      <c r="D5" s="25"/>
      <c r="E5" s="22" t="s">
        <v>24</v>
      </c>
      <c r="F5" s="22"/>
      <c r="G5" s="22"/>
    </row>
    <row r="6" spans="1:7" ht="28.5" thickBot="1" x14ac:dyDescent="0.9">
      <c r="A6" s="3"/>
      <c r="B6" s="26"/>
      <c r="C6" s="26"/>
      <c r="D6" s="27"/>
      <c r="E6" s="22" t="s">
        <v>19</v>
      </c>
      <c r="F6" s="22"/>
      <c r="G6" s="22"/>
    </row>
    <row r="7" spans="1:7" s="5" customFormat="1" ht="32" customHeight="1" thickTop="1" ph="1" x14ac:dyDescent="0.85">
      <c r="A7" s="7" ph="1"/>
      <c r="B7" s="28" t="s" ph="1">
        <v>27</v>
      </c>
      <c r="C7" s="58" t="s">
        <v>34</v>
      </c>
      <c r="D7" s="21" ph="1"/>
      <c r="E7" s="24" t="s" ph="1">
        <v>13</v>
      </c>
      <c r="F7" s="73" t="s" ph="1">
        <v>52</v>
      </c>
      <c r="G7" s="73" ph="1"/>
    </row>
    <row r="8" spans="1:7" s="5" customFormat="1" ht="29.25" customHeight="1" ph="1" x14ac:dyDescent="0.85">
      <c r="A8" s="8" ph="1"/>
      <c r="B8" s="29" t="s" ph="1">
        <v>28</v>
      </c>
      <c r="C8" s="59" t="s">
        <v>39</v>
      </c>
      <c r="D8" s="21" ph="1"/>
      <c r="E8" s="24" t="s" ph="1">
        <v>14</v>
      </c>
      <c r="F8" s="73" t="s" ph="1">
        <v>25</v>
      </c>
      <c r="G8" s="73" ph="1"/>
    </row>
    <row r="9" spans="1:7" s="5" customFormat="1" ht="28.15" x14ac:dyDescent="0.85">
      <c r="A9" s="9"/>
      <c r="B9" s="29" t="s">
        <v>29</v>
      </c>
      <c r="C9" s="60" t="s">
        <v>35</v>
      </c>
      <c r="D9" s="21"/>
      <c r="E9" s="24" t="s">
        <v>15</v>
      </c>
      <c r="F9" s="73" t="s">
        <v>26</v>
      </c>
      <c r="G9" s="73"/>
    </row>
    <row r="10" spans="1:7" s="5" customFormat="1" ht="28.15" x14ac:dyDescent="0.85">
      <c r="A10" s="9"/>
      <c r="B10" s="29" t="s">
        <v>30</v>
      </c>
      <c r="C10" s="60" t="s">
        <v>40</v>
      </c>
      <c r="D10" s="21"/>
      <c r="E10" s="24" t="s">
        <v>16</v>
      </c>
      <c r="F10" s="73" t="s">
        <v>18</v>
      </c>
      <c r="G10" s="73"/>
    </row>
    <row r="11" spans="1:7" s="5" customFormat="1" ht="28.15" x14ac:dyDescent="0.85">
      <c r="A11" s="9"/>
      <c r="B11" s="29" t="s">
        <v>20</v>
      </c>
      <c r="C11" s="63" t="s">
        <v>41</v>
      </c>
      <c r="D11" s="21"/>
      <c r="E11" s="21"/>
      <c r="F11" s="22"/>
      <c r="G11" s="22"/>
    </row>
    <row r="12" spans="1:7" s="5" customFormat="1" ht="33" customHeight="1" ph="1" x14ac:dyDescent="0.85">
      <c r="A12" s="9" ph="1"/>
      <c r="B12" s="29" t="s" ph="1">
        <v>21</v>
      </c>
      <c r="C12" s="59"/>
      <c r="D12" s="21" ph="1"/>
      <c r="E12" s="21" ph="1"/>
      <c r="F12" s="23" ph="1"/>
      <c r="G12" s="23" ph="1"/>
    </row>
    <row r="13" spans="1:7" s="5" customFormat="1" ht="28.15" x14ac:dyDescent="0.85">
      <c r="A13" s="9"/>
      <c r="B13" s="22"/>
      <c r="C13" s="22"/>
      <c r="D13" s="21"/>
      <c r="E13" s="21"/>
      <c r="F13" s="23"/>
      <c r="G13" s="30"/>
    </row>
    <row r="14" spans="1:7" ht="33.75" x14ac:dyDescent="1">
      <c r="A14" s="15" t="s">
        <v>5</v>
      </c>
      <c r="B14" s="31"/>
      <c r="C14" s="31"/>
      <c r="D14" s="32"/>
      <c r="E14" s="32"/>
      <c r="F14" s="30" t="s">
        <v>31</v>
      </c>
      <c r="G14" s="33"/>
    </row>
    <row r="15" spans="1:7" s="1" customFormat="1" ht="3.75" customHeight="1" thickBot="1" ph="1" x14ac:dyDescent="0.75">
      <c r="A15" s="2" ph="1"/>
      <c r="B15" s="34" ph="1"/>
      <c r="C15" s="34" ph="1"/>
      <c r="D15" s="35" ph="1"/>
      <c r="E15" s="35" ph="1"/>
      <c r="F15" s="34" ph="1"/>
      <c r="G15" s="34" ph="1"/>
    </row>
    <row r="16" spans="1:7" s="5" customFormat="1" ht="37.5" customHeight="1" x14ac:dyDescent="0.85">
      <c r="A16" s="17" t="s">
        <v>1</v>
      </c>
      <c r="B16" s="36" t="s">
        <v>6</v>
      </c>
      <c r="C16" s="74" t="s">
        <v>7</v>
      </c>
      <c r="D16" s="75"/>
      <c r="E16" s="37" t="s">
        <v>8</v>
      </c>
      <c r="F16" s="36" t="s">
        <v>0</v>
      </c>
      <c r="G16" s="38" t="s">
        <v>2</v>
      </c>
    </row>
    <row r="17" spans="1:8" s="16" customFormat="1" ht="192" customHeight="1" x14ac:dyDescent="0.45">
      <c r="A17" s="89">
        <v>1</v>
      </c>
      <c r="B17" s="78" t="s">
        <v>45</v>
      </c>
      <c r="C17" s="81" t="s">
        <v>46</v>
      </c>
      <c r="D17" s="81"/>
      <c r="E17" s="39">
        <v>3200000</v>
      </c>
      <c r="F17" s="40">
        <v>1</v>
      </c>
      <c r="G17" s="41">
        <f>E17*F17</f>
        <v>3200000</v>
      </c>
      <c r="H17" s="19"/>
    </row>
    <row r="18" spans="1:8" ht="191.25" customHeight="1" x14ac:dyDescent="0.45">
      <c r="A18" s="61" t="s">
        <v>33</v>
      </c>
      <c r="B18" s="79" t="s">
        <v>36</v>
      </c>
      <c r="C18" s="82" t="s">
        <v>42</v>
      </c>
      <c r="D18" s="83"/>
      <c r="E18" s="39">
        <v>2000000</v>
      </c>
      <c r="F18" s="40">
        <v>1</v>
      </c>
      <c r="G18" s="43">
        <f t="shared" ref="G18" si="0">E18*F18</f>
        <v>2000000</v>
      </c>
    </row>
    <row r="19" spans="1:8" ht="65.650000000000006" customHeight="1" x14ac:dyDescent="0.45">
      <c r="A19" s="61" t="s">
        <v>37</v>
      </c>
      <c r="B19" s="79" t="s">
        <v>47</v>
      </c>
      <c r="C19" s="84" t="s">
        <v>48</v>
      </c>
      <c r="D19" s="85"/>
      <c r="E19" s="39">
        <v>100000</v>
      </c>
      <c r="F19" s="40">
        <v>1</v>
      </c>
      <c r="G19" s="43">
        <f>E19*F19</f>
        <v>100000</v>
      </c>
    </row>
    <row r="20" spans="1:8" ht="60.4" customHeight="1" x14ac:dyDescent="0.45">
      <c r="A20" s="61" t="s">
        <v>38</v>
      </c>
      <c r="B20" s="79" t="s">
        <v>43</v>
      </c>
      <c r="C20" s="86" t="s">
        <v>44</v>
      </c>
      <c r="D20" s="85"/>
      <c r="E20" s="39">
        <v>150000</v>
      </c>
      <c r="F20" s="40">
        <v>1</v>
      </c>
      <c r="G20" s="43">
        <f>E20*F20</f>
        <v>150000</v>
      </c>
    </row>
    <row r="21" spans="1:8" ht="88.15" customHeight="1" x14ac:dyDescent="0.45">
      <c r="A21" s="61" t="s">
        <v>50</v>
      </c>
      <c r="B21" s="80" t="s">
        <v>11</v>
      </c>
      <c r="C21" s="87" t="s">
        <v>49</v>
      </c>
      <c r="D21" s="88"/>
      <c r="E21" s="39">
        <v>817500</v>
      </c>
      <c r="F21" s="40">
        <v>4</v>
      </c>
      <c r="G21" s="43">
        <f>E21*F21</f>
        <v>3270000</v>
      </c>
    </row>
    <row r="22" spans="1:8" ht="27.5" customHeight="1" x14ac:dyDescent="0.45">
      <c r="A22" s="44"/>
      <c r="B22" s="45"/>
      <c r="C22" s="42"/>
      <c r="D22" s="46"/>
      <c r="E22" s="47"/>
      <c r="F22" s="48"/>
      <c r="G22" s="47"/>
    </row>
    <row r="23" spans="1:8" ht="27.5" customHeight="1" x14ac:dyDescent="0.45">
      <c r="A23" s="44"/>
      <c r="B23" s="45"/>
      <c r="C23" s="42"/>
      <c r="D23" s="46"/>
      <c r="E23" s="76" t="s">
        <v>22</v>
      </c>
      <c r="F23" s="77"/>
      <c r="G23" s="47">
        <f>SUM(G17:G21)</f>
        <v>8720000</v>
      </c>
    </row>
    <row r="24" spans="1:8" ht="64.150000000000006" customHeight="1" x14ac:dyDescent="0.7">
      <c r="A24" s="18" ph="1"/>
      <c r="B24" s="49" t="s" ph="1">
        <v>17</v>
      </c>
      <c r="C24" s="91" t="s">
        <v>51</v>
      </c>
      <c r="D24" s="90"/>
      <c r="E24" s="65" t="s">
        <v>23</v>
      </c>
      <c r="F24" s="66"/>
      <c r="G24" s="50">
        <f>G23*1.05</f>
        <v>9156000</v>
      </c>
    </row>
    <row r="25" spans="1:8" ht="27.75" customHeight="1" x14ac:dyDescent="0.7">
      <c r="A25" s="4" ph="1"/>
      <c r="B25" s="51" ph="1"/>
      <c r="C25" s="52"/>
      <c r="D25" s="62"/>
      <c r="E25" s="65"/>
      <c r="F25" s="66"/>
      <c r="G25" s="50"/>
    </row>
    <row r="26" spans="1:8" ht="27.75" customHeight="1" x14ac:dyDescent="0.7">
      <c r="A26" s="4"/>
      <c r="B26" s="51"/>
      <c r="C26" s="52"/>
      <c r="D26"/>
      <c r="E26" s="71"/>
      <c r="F26" s="72"/>
      <c r="G26" s="53"/>
    </row>
    <row r="27" spans="1:8" ht="27.75" customHeight="1" x14ac:dyDescent="0.85">
      <c r="A27" s="4"/>
      <c r="B27" s="54" t="s">
        <v>9</v>
      </c>
      <c r="C27" s="3" t="s">
        <v>32</v>
      </c>
      <c r="D27" s="3"/>
      <c r="E27" s="55" ph="1"/>
      <c r="F27" s="55"/>
      <c r="G27" s="55"/>
    </row>
    <row r="28" spans="1:8" s="10" customFormat="1" ht="26.25" customHeight="1" x14ac:dyDescent="0.85">
      <c r="A28" s="4" ph="1"/>
      <c r="B28" s="5" ph="1"/>
      <c r="C28" s="3"/>
      <c r="D28" s="3"/>
      <c r="E28" s="3"/>
      <c r="F28" s="3"/>
      <c r="G28" s="3"/>
    </row>
    <row r="29" spans="1:8" s="10" customFormat="1" ht="26.25" customHeight="1" x14ac:dyDescent="0.85">
      <c r="A29" s="4" ph="1"/>
      <c r="B29" s="5" ph="1"/>
      <c r="C29" s="64" ph="1"/>
      <c r="D29" s="64" ph="1"/>
      <c r="E29" s="3"/>
      <c r="F29" s="3"/>
      <c r="G29" s="3"/>
    </row>
    <row r="30" spans="1:8" s="10" customFormat="1" ht="31.5" customHeight="1" x14ac:dyDescent="0.85">
      <c r="A30" s="4" ph="1"/>
      <c r="B30" s="5" ph="1"/>
      <c r="C30" s="64" ph="1"/>
      <c r="D30" s="64" ph="1"/>
      <c r="E30" s="56" ph="1"/>
      <c r="F30" s="56" ph="1"/>
      <c r="G30" s="56" ph="1"/>
    </row>
    <row r="31" spans="1:8" s="10" customFormat="1" ht="31.5" customHeight="1" ph="1" x14ac:dyDescent="0.85">
      <c r="A31" s="4" ph="1"/>
      <c r="B31" s="5" ph="1"/>
      <c r="C31" s="64" ph="1"/>
      <c r="D31" s="64" ph="1"/>
      <c r="E31" s="56" ph="1"/>
      <c r="F31" s="56" ph="1"/>
      <c r="G31" s="56" ph="1"/>
    </row>
    <row r="32" spans="1:8" s="10" customFormat="1" ht="31.5" customHeight="1" thickBot="1" x14ac:dyDescent="0.75">
      <c r="A32" s="12"/>
      <c r="B32" s="69" t="s">
        <v>12</v>
      </c>
      <c r="C32" s="69"/>
      <c r="D32" s="70"/>
      <c r="E32" s="56" ph="1"/>
      <c r="F32" s="56" ph="1"/>
      <c r="G32" s="56" ph="1"/>
    </row>
    <row r="33" spans="1:7" s="10" customFormat="1" ht="31.5" customHeight="1" ph="1" x14ac:dyDescent="0.7">
      <c r="A33" s="3" ph="1"/>
      <c r="B33" s="67" t="s" ph="1">
        <v>10</v>
      </c>
      <c r="C33" s="67" ph="1"/>
      <c r="D33" s="68" ph="1"/>
      <c r="E33"/>
      <c r="F33"/>
      <c r="G33"/>
    </row>
    <row r="34" spans="1:7" s="10" customFormat="1" ht="31.5" customHeight="1" x14ac:dyDescent="0.85">
      <c r="A34" s="3"/>
      <c r="B34" s="57"/>
      <c r="C34" s="57"/>
      <c r="D34" s="57"/>
      <c r="E34" ph="1"/>
      <c r="F34" ph="1"/>
      <c r="G34" ph="1"/>
    </row>
    <row r="35" spans="1:7" s="3" customFormat="1" ht="27.75" customHeight="1" x14ac:dyDescent="0.85">
      <c r="A35" s="3" ph="1"/>
      <c r="B35" s="57" ph="1"/>
      <c r="C35" s="57" ph="1"/>
      <c r="D35" s="57" ph="1"/>
      <c r="E35"/>
      <c r="F35"/>
      <c r="G35"/>
    </row>
    <row r="36" spans="1:7" s="3" customFormat="1" ht="33" customHeight="1" x14ac:dyDescent="0.85">
      <c r="A36" s="3" ph="1"/>
      <c r="B36" s="3" ph="1"/>
      <c r="C36" s="3" ph="1"/>
      <c r="D36" s="3" ph="1"/>
      <c r="E36" s="21" ph="1"/>
      <c r="F36" s="21" ph="1"/>
      <c r="G36" s="21" ph="1"/>
    </row>
    <row r="37" spans="1:7" s="3" customFormat="1" ht="33" customHeight="1" x14ac:dyDescent="0.55000000000000004">
      <c r="E37" s="3" ph="1"/>
      <c r="F37" s="3" ph="1"/>
      <c r="G37" s="3" ph="1"/>
    </row>
    <row r="38" spans="1:7" s="3" customFormat="1" ht="47.25" customHeight="1" x14ac:dyDescent="0.55000000000000004">
      <c r="A38" s="6"/>
      <c r="B38" s="6"/>
      <c r="C38" s="6"/>
      <c r="D38" s="6"/>
    </row>
    <row r="39" spans="1:7" s="3" customFormat="1" ht="45" customHeight="1" ph="1" x14ac:dyDescent="0.55000000000000004">
      <c r="A39" s="6"/>
      <c r="B39" s="6"/>
      <c r="C39" s="6"/>
      <c r="D39" s="6"/>
      <c r="E39" s="6"/>
      <c r="F39" s="6"/>
      <c r="G39" s="6"/>
    </row>
    <row r="40" spans="1:7" s="3" customFormat="1" ht="19.149999999999999" x14ac:dyDescent="0.55000000000000004">
      <c r="A40" s="6"/>
      <c r="B40" s="6"/>
      <c r="C40" s="6"/>
      <c r="D40" s="6"/>
      <c r="E40" s="6"/>
      <c r="F40" s="6"/>
      <c r="G40" s="6"/>
    </row>
    <row r="41" spans="1:7" ht="26.25" x14ac:dyDescent="0.45">
      <c r="A41" s="6" ph="1"/>
      <c r="B41" s="6" ph="1"/>
      <c r="C41" s="6" ph="1"/>
      <c r="D41" s="6" ph="1"/>
      <c r="E41" s="6"/>
    </row>
    <row r="42" spans="1:7" ht="26.25" x14ac:dyDescent="0.45">
      <c r="D42" s="6"/>
      <c r="E42" s="6" ph="1"/>
      <c r="F42" s="6" ph="1"/>
      <c r="G42" s="6" ph="1"/>
    </row>
    <row r="43" spans="1:7" x14ac:dyDescent="0.45">
      <c r="D43" s="6"/>
      <c r="E43" s="6"/>
    </row>
    <row r="44" spans="1:7" x14ac:dyDescent="0.45">
      <c r="D44" s="6"/>
      <c r="E44" s="6"/>
    </row>
    <row r="45" spans="1:7" x14ac:dyDescent="0.45">
      <c r="D45" s="6"/>
      <c r="E45" s="6"/>
    </row>
    <row r="46" spans="1:7" x14ac:dyDescent="0.45">
      <c r="D46" s="6"/>
      <c r="E46" s="6"/>
    </row>
    <row r="47" spans="1:7" x14ac:dyDescent="0.45">
      <c r="D47" s="6"/>
      <c r="E47" s="6"/>
    </row>
    <row r="48" spans="1:7" x14ac:dyDescent="0.45">
      <c r="D48" s="6"/>
      <c r="E48" s="6"/>
    </row>
    <row r="49" s="6" customFormat="1" x14ac:dyDescent="0.45"/>
    <row r="50" s="6" customFormat="1" x14ac:dyDescent="0.45"/>
    <row r="51" s="6" customFormat="1" x14ac:dyDescent="0.45"/>
    <row r="52" s="6" customFormat="1" x14ac:dyDescent="0.45"/>
    <row r="53" s="6" customFormat="1" x14ac:dyDescent="0.45"/>
    <row r="54" s="6" customFormat="1" x14ac:dyDescent="0.45"/>
    <row r="55" s="6" customFormat="1" x14ac:dyDescent="0.45"/>
    <row r="56" s="6" customFormat="1" x14ac:dyDescent="0.45"/>
    <row r="57" s="6" customFormat="1" x14ac:dyDescent="0.45"/>
    <row r="58" s="6" customFormat="1" x14ac:dyDescent="0.45"/>
    <row r="59" s="6" customFormat="1" x14ac:dyDescent="0.45"/>
    <row r="60" s="6" customFormat="1" x14ac:dyDescent="0.45"/>
    <row r="61" s="6" customFormat="1" x14ac:dyDescent="0.45"/>
    <row r="62" s="6" customFormat="1" x14ac:dyDescent="0.45"/>
    <row r="63" s="6" customFormat="1" x14ac:dyDescent="0.45"/>
    <row r="64" s="6" customFormat="1" x14ac:dyDescent="0.45"/>
    <row r="65" s="6" customFormat="1" x14ac:dyDescent="0.45"/>
    <row r="66" s="6" customFormat="1" x14ac:dyDescent="0.45"/>
    <row r="67" s="6" customFormat="1" x14ac:dyDescent="0.45"/>
    <row r="68" s="6" customFormat="1" x14ac:dyDescent="0.45"/>
    <row r="69" s="6" customFormat="1" x14ac:dyDescent="0.45"/>
    <row r="70" s="6" customFormat="1" x14ac:dyDescent="0.45"/>
    <row r="71" s="6" customFormat="1" x14ac:dyDescent="0.45"/>
    <row r="72" s="6" customFormat="1" x14ac:dyDescent="0.45"/>
    <row r="73" s="6" customFormat="1" x14ac:dyDescent="0.45"/>
    <row r="74" s="6" customFormat="1" x14ac:dyDescent="0.45"/>
    <row r="75" s="6" customFormat="1" x14ac:dyDescent="0.45"/>
    <row r="76" s="6" customFormat="1" x14ac:dyDescent="0.45"/>
    <row r="77" s="6" customFormat="1" x14ac:dyDescent="0.45"/>
    <row r="78" s="6" customFormat="1" x14ac:dyDescent="0.45"/>
    <row r="79" s="6" customFormat="1" x14ac:dyDescent="0.45"/>
    <row r="80" s="6" customFormat="1" x14ac:dyDescent="0.45"/>
    <row r="81" s="6" customFormat="1" x14ac:dyDescent="0.45"/>
    <row r="82" s="6" customFormat="1" x14ac:dyDescent="0.45"/>
    <row r="83" s="6" customFormat="1" x14ac:dyDescent="0.45"/>
    <row r="84" s="6" customFormat="1" x14ac:dyDescent="0.45"/>
    <row r="85" s="6" customFormat="1" x14ac:dyDescent="0.45"/>
    <row r="86" s="6" customFormat="1" x14ac:dyDescent="0.45"/>
    <row r="87" s="6" customFormat="1" x14ac:dyDescent="0.45"/>
    <row r="88" s="6" customFormat="1" x14ac:dyDescent="0.45"/>
    <row r="89" s="6" customFormat="1" x14ac:dyDescent="0.45"/>
    <row r="90" s="6" customFormat="1" x14ac:dyDescent="0.45"/>
    <row r="91" s="6" customFormat="1" x14ac:dyDescent="0.45"/>
    <row r="92" s="6" customFormat="1" x14ac:dyDescent="0.45"/>
    <row r="93" s="6" customFormat="1" x14ac:dyDescent="0.45"/>
    <row r="94" s="6" customFormat="1" x14ac:dyDescent="0.45"/>
    <row r="95" s="6" customFormat="1" x14ac:dyDescent="0.45"/>
    <row r="96" s="6" customFormat="1" x14ac:dyDescent="0.45"/>
    <row r="97" s="6" customFormat="1" x14ac:dyDescent="0.45"/>
    <row r="98" s="6" customFormat="1" x14ac:dyDescent="0.45"/>
    <row r="99" s="6" customFormat="1" x14ac:dyDescent="0.45"/>
    <row r="100" s="6" customFormat="1" x14ac:dyDescent="0.45"/>
    <row r="101" s="6" customFormat="1" x14ac:dyDescent="0.45"/>
    <row r="102" s="6" customFormat="1" x14ac:dyDescent="0.45"/>
    <row r="103" s="6" customFormat="1" x14ac:dyDescent="0.45"/>
    <row r="104" s="6" customFormat="1" x14ac:dyDescent="0.45"/>
    <row r="105" s="6" customFormat="1" x14ac:dyDescent="0.45"/>
    <row r="106" s="6" customFormat="1" x14ac:dyDescent="0.45"/>
    <row r="107" s="6" customFormat="1" x14ac:dyDescent="0.45"/>
    <row r="108" s="6" customFormat="1" x14ac:dyDescent="0.45"/>
    <row r="109" s="6" customFormat="1" x14ac:dyDescent="0.45"/>
    <row r="110" s="6" customFormat="1" x14ac:dyDescent="0.45"/>
    <row r="111" s="6" customFormat="1" x14ac:dyDescent="0.45"/>
    <row r="112" s="6" customFormat="1" x14ac:dyDescent="0.45"/>
    <row r="113" s="6" customFormat="1" x14ac:dyDescent="0.45"/>
    <row r="114" s="6" customFormat="1" x14ac:dyDescent="0.45"/>
    <row r="115" s="6" customFormat="1" x14ac:dyDescent="0.45"/>
    <row r="116" s="6" customFormat="1" x14ac:dyDescent="0.45"/>
    <row r="117" s="6" customFormat="1" x14ac:dyDescent="0.45"/>
    <row r="118" s="6" customFormat="1" x14ac:dyDescent="0.45"/>
    <row r="119" s="6" customFormat="1" x14ac:dyDescent="0.45"/>
    <row r="120" s="6" customFormat="1" x14ac:dyDescent="0.45"/>
    <row r="121" s="6" customFormat="1" x14ac:dyDescent="0.45"/>
    <row r="122" s="6" customFormat="1" x14ac:dyDescent="0.45"/>
    <row r="123" s="6" customFormat="1" x14ac:dyDescent="0.45"/>
    <row r="124" s="6" customFormat="1" x14ac:dyDescent="0.45"/>
    <row r="125" s="6" customFormat="1" x14ac:dyDescent="0.45"/>
    <row r="126" s="6" customFormat="1" x14ac:dyDescent="0.45"/>
    <row r="127" s="6" customFormat="1" x14ac:dyDescent="0.45"/>
    <row r="128" s="6" customFormat="1" x14ac:dyDescent="0.45"/>
    <row r="129" s="6" customFormat="1" x14ac:dyDescent="0.45"/>
    <row r="130" s="6" customFormat="1" x14ac:dyDescent="0.45"/>
    <row r="131" s="6" customFormat="1" x14ac:dyDescent="0.45"/>
    <row r="132" s="6" customFormat="1" x14ac:dyDescent="0.45"/>
    <row r="133" s="6" customFormat="1" x14ac:dyDescent="0.45"/>
    <row r="134" s="6" customFormat="1" x14ac:dyDescent="0.45"/>
    <row r="135" s="6" customFormat="1" x14ac:dyDescent="0.45"/>
    <row r="136" s="6" customFormat="1" x14ac:dyDescent="0.45"/>
    <row r="137" s="6" customFormat="1" x14ac:dyDescent="0.45"/>
    <row r="138" s="6" customFormat="1" x14ac:dyDescent="0.45"/>
    <row r="139" s="6" customFormat="1" x14ac:dyDescent="0.45"/>
    <row r="140" s="6" customFormat="1" x14ac:dyDescent="0.45"/>
    <row r="141" s="6" customFormat="1" x14ac:dyDescent="0.45"/>
    <row r="142" s="6" customFormat="1" x14ac:dyDescent="0.45"/>
    <row r="143" s="6" customFormat="1" x14ac:dyDescent="0.45"/>
    <row r="144" s="6" customFormat="1" x14ac:dyDescent="0.45"/>
    <row r="145" s="6" customFormat="1" x14ac:dyDescent="0.45"/>
    <row r="146" s="6" customFormat="1" x14ac:dyDescent="0.45"/>
    <row r="147" s="6" customFormat="1" x14ac:dyDescent="0.45"/>
    <row r="148" s="6" customFormat="1" x14ac:dyDescent="0.45"/>
    <row r="149" s="6" customFormat="1" x14ac:dyDescent="0.45"/>
    <row r="150" s="6" customFormat="1" x14ac:dyDescent="0.45"/>
    <row r="151" s="6" customFormat="1" x14ac:dyDescent="0.45"/>
    <row r="152" s="6" customFormat="1" x14ac:dyDescent="0.45"/>
    <row r="153" s="6" customFormat="1" x14ac:dyDescent="0.45"/>
    <row r="154" s="6" customFormat="1" x14ac:dyDescent="0.45"/>
    <row r="155" s="6" customFormat="1" x14ac:dyDescent="0.45"/>
    <row r="156" s="6" customFormat="1" x14ac:dyDescent="0.45"/>
    <row r="157" s="6" customFormat="1" x14ac:dyDescent="0.45"/>
    <row r="158" s="6" customFormat="1" x14ac:dyDescent="0.45"/>
    <row r="159" s="6" customFormat="1" x14ac:dyDescent="0.45"/>
    <row r="160" s="6" customFormat="1" x14ac:dyDescent="0.45"/>
    <row r="161" s="6" customFormat="1" x14ac:dyDescent="0.45"/>
    <row r="162" s="6" customFormat="1" x14ac:dyDescent="0.45"/>
    <row r="163" s="6" customFormat="1" x14ac:dyDescent="0.45"/>
    <row r="164" s="6" customFormat="1" x14ac:dyDescent="0.45"/>
    <row r="165" s="6" customFormat="1" x14ac:dyDescent="0.45"/>
    <row r="166" s="6" customFormat="1" x14ac:dyDescent="0.45"/>
    <row r="167" s="6" customFormat="1" x14ac:dyDescent="0.45"/>
    <row r="168" s="6" customFormat="1" x14ac:dyDescent="0.45"/>
    <row r="169" s="6" customFormat="1" x14ac:dyDescent="0.45"/>
    <row r="170" s="6" customFormat="1" x14ac:dyDescent="0.45"/>
    <row r="171" s="6" customFormat="1" x14ac:dyDescent="0.45"/>
    <row r="172" s="6" customFormat="1" x14ac:dyDescent="0.45"/>
    <row r="173" s="6" customFormat="1" x14ac:dyDescent="0.45"/>
    <row r="174" s="6" customFormat="1" x14ac:dyDescent="0.45"/>
    <row r="175" s="6" customFormat="1" x14ac:dyDescent="0.45"/>
    <row r="176" s="6" customFormat="1" x14ac:dyDescent="0.45"/>
    <row r="177" s="6" customFormat="1" x14ac:dyDescent="0.45"/>
    <row r="178" s="6" customFormat="1" x14ac:dyDescent="0.45"/>
    <row r="179" s="6" customFormat="1" x14ac:dyDescent="0.45"/>
    <row r="180" s="6" customFormat="1" x14ac:dyDescent="0.45"/>
    <row r="181" s="6" customFormat="1" x14ac:dyDescent="0.45"/>
    <row r="182" s="6" customFormat="1" x14ac:dyDescent="0.45"/>
    <row r="183" s="6" customFormat="1" x14ac:dyDescent="0.45"/>
    <row r="184" s="6" customFormat="1" x14ac:dyDescent="0.45"/>
    <row r="185" s="6" customFormat="1" x14ac:dyDescent="0.45"/>
    <row r="186" s="6" customFormat="1" x14ac:dyDescent="0.45"/>
    <row r="187" s="6" customFormat="1" x14ac:dyDescent="0.45"/>
    <row r="188" s="6" customFormat="1" x14ac:dyDescent="0.45"/>
    <row r="189" s="6" customFormat="1" x14ac:dyDescent="0.45"/>
    <row r="190" s="6" customFormat="1" x14ac:dyDescent="0.45"/>
    <row r="191" s="6" customFormat="1" x14ac:dyDescent="0.45"/>
    <row r="192" s="6" customFormat="1" x14ac:dyDescent="0.45"/>
    <row r="193" s="6" customFormat="1" x14ac:dyDescent="0.45"/>
    <row r="194" s="6" customFormat="1" x14ac:dyDescent="0.45"/>
    <row r="195" s="6" customFormat="1" x14ac:dyDescent="0.45"/>
    <row r="196" s="6" customFormat="1" x14ac:dyDescent="0.45"/>
    <row r="197" s="6" customFormat="1" x14ac:dyDescent="0.45"/>
    <row r="198" s="6" customFormat="1" x14ac:dyDescent="0.45"/>
    <row r="199" s="6" customFormat="1" x14ac:dyDescent="0.45"/>
    <row r="200" s="6" customFormat="1" x14ac:dyDescent="0.45"/>
    <row r="201" s="6" customFormat="1" x14ac:dyDescent="0.45"/>
    <row r="202" s="6" customFormat="1" x14ac:dyDescent="0.45"/>
    <row r="203" s="6" customFormat="1" x14ac:dyDescent="0.45"/>
    <row r="204" s="6" customFormat="1" x14ac:dyDescent="0.45"/>
    <row r="205" s="6" customFormat="1" x14ac:dyDescent="0.45"/>
    <row r="206" s="6" customFormat="1" x14ac:dyDescent="0.45"/>
    <row r="207" s="6" customFormat="1" x14ac:dyDescent="0.45"/>
    <row r="208" s="6" customFormat="1" x14ac:dyDescent="0.45"/>
    <row r="209" s="6" customFormat="1" x14ac:dyDescent="0.45"/>
    <row r="210" s="6" customFormat="1" x14ac:dyDescent="0.45"/>
    <row r="211" s="6" customFormat="1" x14ac:dyDescent="0.45"/>
    <row r="212" s="6" customFormat="1" x14ac:dyDescent="0.45"/>
    <row r="213" s="6" customFormat="1" x14ac:dyDescent="0.45"/>
    <row r="214" s="6" customFormat="1" x14ac:dyDescent="0.45"/>
    <row r="215" s="6" customFormat="1" x14ac:dyDescent="0.45"/>
    <row r="216" s="6" customFormat="1" x14ac:dyDescent="0.45"/>
    <row r="217" s="6" customFormat="1" x14ac:dyDescent="0.45"/>
    <row r="218" s="6" customFormat="1" x14ac:dyDescent="0.45"/>
    <row r="219" s="6" customFormat="1" x14ac:dyDescent="0.45"/>
    <row r="220" s="6" customFormat="1" x14ac:dyDescent="0.45"/>
    <row r="221" s="6" customFormat="1" x14ac:dyDescent="0.45"/>
    <row r="222" s="6" customFormat="1" x14ac:dyDescent="0.45"/>
    <row r="223" s="6" customFormat="1" x14ac:dyDescent="0.45"/>
    <row r="224" s="6" customFormat="1" x14ac:dyDescent="0.45"/>
    <row r="225" s="6" customFormat="1" x14ac:dyDescent="0.45"/>
    <row r="226" s="6" customFormat="1" x14ac:dyDescent="0.45"/>
    <row r="227" s="6" customFormat="1" x14ac:dyDescent="0.45"/>
    <row r="228" s="6" customFormat="1" x14ac:dyDescent="0.45"/>
    <row r="229" s="6" customFormat="1" x14ac:dyDescent="0.45"/>
    <row r="230" s="6" customFormat="1" x14ac:dyDescent="0.45"/>
    <row r="231" s="6" customFormat="1" x14ac:dyDescent="0.45"/>
    <row r="232" s="6" customFormat="1" x14ac:dyDescent="0.45"/>
    <row r="233" s="6" customFormat="1" x14ac:dyDescent="0.45"/>
    <row r="234" s="6" customFormat="1" x14ac:dyDescent="0.45"/>
    <row r="235" s="6" customFormat="1" x14ac:dyDescent="0.45"/>
    <row r="236" s="6" customFormat="1" x14ac:dyDescent="0.45"/>
    <row r="237" s="6" customFormat="1" x14ac:dyDescent="0.45"/>
    <row r="238" s="6" customFormat="1" x14ac:dyDescent="0.45"/>
    <row r="239" s="6" customFormat="1" x14ac:dyDescent="0.45"/>
    <row r="240" s="6" customFormat="1" x14ac:dyDescent="0.45"/>
    <row r="241" s="6" customFormat="1" x14ac:dyDescent="0.45"/>
    <row r="242" s="6" customFormat="1" x14ac:dyDescent="0.45"/>
    <row r="243" s="6" customFormat="1" x14ac:dyDescent="0.45"/>
    <row r="244" s="6" customFormat="1" x14ac:dyDescent="0.45"/>
    <row r="245" s="6" customFormat="1" x14ac:dyDescent="0.45"/>
    <row r="246" s="6" customFormat="1" x14ac:dyDescent="0.45"/>
    <row r="247" s="6" customFormat="1" x14ac:dyDescent="0.45"/>
    <row r="248" s="6" customFormat="1" x14ac:dyDescent="0.45"/>
    <row r="249" s="6" customFormat="1" x14ac:dyDescent="0.45"/>
    <row r="250" s="6" customFormat="1" x14ac:dyDescent="0.45"/>
    <row r="251" s="6" customFormat="1" x14ac:dyDescent="0.45"/>
    <row r="252" s="6" customFormat="1" x14ac:dyDescent="0.45"/>
    <row r="253" s="6" customFormat="1" x14ac:dyDescent="0.45"/>
    <row r="254" s="6" customFormat="1" x14ac:dyDescent="0.45"/>
    <row r="255" s="6" customFormat="1" x14ac:dyDescent="0.45"/>
    <row r="256" s="6" customFormat="1" x14ac:dyDescent="0.45"/>
    <row r="257" s="6" customFormat="1" x14ac:dyDescent="0.45"/>
    <row r="258" s="6" customFormat="1" x14ac:dyDescent="0.45"/>
    <row r="259" s="6" customFormat="1" x14ac:dyDescent="0.45"/>
    <row r="260" s="6" customFormat="1" x14ac:dyDescent="0.45"/>
    <row r="261" s="6" customFormat="1" x14ac:dyDescent="0.45"/>
    <row r="262" s="6" customFormat="1" x14ac:dyDescent="0.45"/>
    <row r="263" s="6" customFormat="1" x14ac:dyDescent="0.45"/>
    <row r="264" s="6" customFormat="1" x14ac:dyDescent="0.45"/>
    <row r="265" s="6" customFormat="1" x14ac:dyDescent="0.45"/>
    <row r="266" s="6" customFormat="1" x14ac:dyDescent="0.45"/>
    <row r="267" s="6" customFormat="1" x14ac:dyDescent="0.45"/>
    <row r="268" s="6" customFormat="1" x14ac:dyDescent="0.45"/>
    <row r="269" s="6" customFormat="1" x14ac:dyDescent="0.45"/>
    <row r="270" s="6" customFormat="1" x14ac:dyDescent="0.45"/>
    <row r="271" s="6" customFormat="1" x14ac:dyDescent="0.45"/>
    <row r="272" s="6" customFormat="1" x14ac:dyDescent="0.45"/>
    <row r="273" s="6" customFormat="1" x14ac:dyDescent="0.45"/>
    <row r="274" s="6" customFormat="1" x14ac:dyDescent="0.45"/>
    <row r="275" s="6" customFormat="1" x14ac:dyDescent="0.45"/>
    <row r="276" s="6" customFormat="1" x14ac:dyDescent="0.45"/>
    <row r="277" s="6" customFormat="1" x14ac:dyDescent="0.45"/>
    <row r="278" s="6" customFormat="1" x14ac:dyDescent="0.45"/>
    <row r="279" s="6" customFormat="1" x14ac:dyDescent="0.45"/>
    <row r="280" s="6" customFormat="1" x14ac:dyDescent="0.45"/>
    <row r="281" s="6" customFormat="1" x14ac:dyDescent="0.45"/>
    <row r="282" s="6" customFormat="1" x14ac:dyDescent="0.45"/>
    <row r="283" s="6" customFormat="1" x14ac:dyDescent="0.45"/>
    <row r="284" s="6" customFormat="1" x14ac:dyDescent="0.45"/>
    <row r="285" s="6" customFormat="1" x14ac:dyDescent="0.45"/>
    <row r="286" s="6" customFormat="1" x14ac:dyDescent="0.45"/>
    <row r="287" s="6" customFormat="1" x14ac:dyDescent="0.45"/>
    <row r="288" s="6" customFormat="1" x14ac:dyDescent="0.45"/>
    <row r="289" s="6" customFormat="1" x14ac:dyDescent="0.45"/>
    <row r="290" s="6" customFormat="1" x14ac:dyDescent="0.45"/>
    <row r="291" s="6" customFormat="1" x14ac:dyDescent="0.45"/>
    <row r="292" s="6" customFormat="1" x14ac:dyDescent="0.45"/>
    <row r="293" s="6" customFormat="1" x14ac:dyDescent="0.45"/>
    <row r="294" s="6" customFormat="1" x14ac:dyDescent="0.45"/>
    <row r="295" s="6" customFormat="1" x14ac:dyDescent="0.45"/>
    <row r="296" s="6" customFormat="1" x14ac:dyDescent="0.45"/>
    <row r="297" s="6" customFormat="1" x14ac:dyDescent="0.45"/>
    <row r="298" s="6" customFormat="1" x14ac:dyDescent="0.45"/>
    <row r="299" s="6" customFormat="1" x14ac:dyDescent="0.45"/>
    <row r="300" s="6" customFormat="1" x14ac:dyDescent="0.45"/>
    <row r="301" s="6" customFormat="1" x14ac:dyDescent="0.45"/>
    <row r="302" s="6" customFormat="1" x14ac:dyDescent="0.45"/>
    <row r="303" s="6" customFormat="1" x14ac:dyDescent="0.45"/>
    <row r="304" s="6" customFormat="1" x14ac:dyDescent="0.45"/>
    <row r="305" s="6" customFormat="1" x14ac:dyDescent="0.45"/>
    <row r="306" s="6" customFormat="1" x14ac:dyDescent="0.45"/>
    <row r="307" s="6" customFormat="1" x14ac:dyDescent="0.45"/>
    <row r="308" s="6" customFormat="1" x14ac:dyDescent="0.45"/>
    <row r="309" s="6" customFormat="1" x14ac:dyDescent="0.45"/>
    <row r="310" s="6" customFormat="1" x14ac:dyDescent="0.45"/>
    <row r="311" s="6" customFormat="1" x14ac:dyDescent="0.45"/>
    <row r="312" s="6" customFormat="1" x14ac:dyDescent="0.45"/>
    <row r="313" s="6" customFormat="1" x14ac:dyDescent="0.45"/>
    <row r="314" s="6" customFormat="1" x14ac:dyDescent="0.45"/>
    <row r="315" s="6" customFormat="1" x14ac:dyDescent="0.45"/>
    <row r="316" s="6" customFormat="1" x14ac:dyDescent="0.45"/>
    <row r="317" s="6" customFormat="1" x14ac:dyDescent="0.45"/>
    <row r="318" s="6" customFormat="1" x14ac:dyDescent="0.45"/>
    <row r="319" s="6" customFormat="1" x14ac:dyDescent="0.45"/>
    <row r="320" s="6" customFormat="1" x14ac:dyDescent="0.45"/>
    <row r="321" s="6" customFormat="1" x14ac:dyDescent="0.45"/>
    <row r="322" s="6" customFormat="1" x14ac:dyDescent="0.45"/>
    <row r="323" s="6" customFormat="1" x14ac:dyDescent="0.45"/>
    <row r="324" s="6" customFormat="1" x14ac:dyDescent="0.45"/>
    <row r="325" s="6" customFormat="1" x14ac:dyDescent="0.45"/>
    <row r="326" s="6" customFormat="1" x14ac:dyDescent="0.45"/>
    <row r="327" s="6" customFormat="1" x14ac:dyDescent="0.45"/>
    <row r="328" s="6" customFormat="1" x14ac:dyDescent="0.45"/>
    <row r="329" s="6" customFormat="1" x14ac:dyDescent="0.45"/>
    <row r="330" s="6" customFormat="1" x14ac:dyDescent="0.45"/>
    <row r="331" s="6" customFormat="1" x14ac:dyDescent="0.45"/>
    <row r="332" s="6" customFormat="1" x14ac:dyDescent="0.45"/>
    <row r="333" s="6" customFormat="1" x14ac:dyDescent="0.45"/>
    <row r="334" s="6" customFormat="1" x14ac:dyDescent="0.45"/>
    <row r="335" s="6" customFormat="1" x14ac:dyDescent="0.45"/>
    <row r="336" s="6" customFormat="1" x14ac:dyDescent="0.45"/>
    <row r="337" s="6" customFormat="1" x14ac:dyDescent="0.45"/>
    <row r="338" s="6" customFormat="1" x14ac:dyDescent="0.45"/>
    <row r="339" s="6" customFormat="1" x14ac:dyDescent="0.45"/>
    <row r="340" s="6" customFormat="1" x14ac:dyDescent="0.45"/>
    <row r="341" s="6" customFormat="1" x14ac:dyDescent="0.45"/>
    <row r="342" s="6" customFormat="1" x14ac:dyDescent="0.45"/>
    <row r="343" s="6" customFormat="1" x14ac:dyDescent="0.45"/>
    <row r="344" s="6" customFormat="1" x14ac:dyDescent="0.45"/>
    <row r="345" s="6" customFormat="1" x14ac:dyDescent="0.45"/>
    <row r="346" s="6" customFormat="1" x14ac:dyDescent="0.45"/>
    <row r="347" s="6" customFormat="1" x14ac:dyDescent="0.45"/>
    <row r="348" s="6" customFormat="1" x14ac:dyDescent="0.45"/>
    <row r="349" s="6" customFormat="1" x14ac:dyDescent="0.45"/>
    <row r="350" s="6" customFormat="1" x14ac:dyDescent="0.45"/>
    <row r="351" s="6" customFormat="1" x14ac:dyDescent="0.45"/>
    <row r="352" s="6" customFormat="1" x14ac:dyDescent="0.45"/>
    <row r="353" s="6" customFormat="1" x14ac:dyDescent="0.45"/>
    <row r="354" s="6" customFormat="1" x14ac:dyDescent="0.45"/>
    <row r="355" s="6" customFormat="1" x14ac:dyDescent="0.45"/>
    <row r="356" s="6" customFormat="1" x14ac:dyDescent="0.45"/>
    <row r="357" s="6" customFormat="1" x14ac:dyDescent="0.45"/>
    <row r="358" s="6" customFormat="1" x14ac:dyDescent="0.45"/>
    <row r="359" s="6" customFormat="1" x14ac:dyDescent="0.45"/>
    <row r="360" s="6" customFormat="1" x14ac:dyDescent="0.45"/>
    <row r="361" s="6" customFormat="1" x14ac:dyDescent="0.45"/>
    <row r="362" s="6" customFormat="1" x14ac:dyDescent="0.45"/>
    <row r="363" s="6" customFormat="1" x14ac:dyDescent="0.45"/>
    <row r="364" s="6" customFormat="1" x14ac:dyDescent="0.45"/>
    <row r="365" s="6" customFormat="1" x14ac:dyDescent="0.45"/>
    <row r="366" s="6" customFormat="1" x14ac:dyDescent="0.45"/>
    <row r="367" s="6" customFormat="1" x14ac:dyDescent="0.45"/>
    <row r="368" s="6" customFormat="1" x14ac:dyDescent="0.45"/>
    <row r="369" s="6" customFormat="1" x14ac:dyDescent="0.45"/>
    <row r="370" s="6" customFormat="1" x14ac:dyDescent="0.45"/>
    <row r="371" s="6" customFormat="1" x14ac:dyDescent="0.45"/>
    <row r="372" s="6" customFormat="1" x14ac:dyDescent="0.45"/>
    <row r="373" s="6" customFormat="1" x14ac:dyDescent="0.45"/>
    <row r="374" s="6" customFormat="1" x14ac:dyDescent="0.45"/>
    <row r="375" s="6" customFormat="1" x14ac:dyDescent="0.45"/>
    <row r="376" s="6" customFormat="1" x14ac:dyDescent="0.45"/>
    <row r="377" s="6" customFormat="1" x14ac:dyDescent="0.45"/>
    <row r="378" s="6" customFormat="1" x14ac:dyDescent="0.45"/>
    <row r="379" s="6" customFormat="1" x14ac:dyDescent="0.45"/>
    <row r="380" s="6" customFormat="1" x14ac:dyDescent="0.45"/>
    <row r="381" s="6" customFormat="1" x14ac:dyDescent="0.45"/>
    <row r="382" s="6" customFormat="1" x14ac:dyDescent="0.45"/>
    <row r="383" s="6" customFormat="1" x14ac:dyDescent="0.45"/>
    <row r="384" s="6" customFormat="1" x14ac:dyDescent="0.45"/>
    <row r="385" s="6" customFormat="1" x14ac:dyDescent="0.45"/>
    <row r="386" s="6" customFormat="1" x14ac:dyDescent="0.45"/>
    <row r="387" s="6" customFormat="1" x14ac:dyDescent="0.45"/>
    <row r="388" s="6" customFormat="1" x14ac:dyDescent="0.45"/>
    <row r="389" s="6" customFormat="1" x14ac:dyDescent="0.45"/>
    <row r="390" s="6" customFormat="1" x14ac:dyDescent="0.45"/>
    <row r="391" s="6" customFormat="1" x14ac:dyDescent="0.45"/>
    <row r="392" s="6" customFormat="1" x14ac:dyDescent="0.45"/>
    <row r="393" s="6" customFormat="1" x14ac:dyDescent="0.45"/>
    <row r="394" s="6" customFormat="1" x14ac:dyDescent="0.45"/>
    <row r="395" s="6" customFormat="1" x14ac:dyDescent="0.45"/>
    <row r="396" s="6" customFormat="1" x14ac:dyDescent="0.45"/>
    <row r="397" s="6" customFormat="1" x14ac:dyDescent="0.45"/>
    <row r="398" s="6" customFormat="1" x14ac:dyDescent="0.45"/>
    <row r="399" s="6" customFormat="1" x14ac:dyDescent="0.45"/>
    <row r="400" s="6" customFormat="1" x14ac:dyDescent="0.45"/>
    <row r="401" s="6" customFormat="1" x14ac:dyDescent="0.45"/>
    <row r="402" s="6" customFormat="1" x14ac:dyDescent="0.45"/>
    <row r="403" s="6" customFormat="1" x14ac:dyDescent="0.45"/>
    <row r="404" s="6" customFormat="1" x14ac:dyDescent="0.45"/>
    <row r="405" s="6" customFormat="1" x14ac:dyDescent="0.45"/>
    <row r="406" s="6" customFormat="1" x14ac:dyDescent="0.45"/>
    <row r="407" s="6" customFormat="1" x14ac:dyDescent="0.45"/>
    <row r="408" s="6" customFormat="1" x14ac:dyDescent="0.45"/>
    <row r="409" s="6" customFormat="1" x14ac:dyDescent="0.45"/>
    <row r="410" s="6" customFormat="1" x14ac:dyDescent="0.45"/>
    <row r="411" s="6" customFormat="1" x14ac:dyDescent="0.45"/>
    <row r="412" s="6" customFormat="1" x14ac:dyDescent="0.45"/>
    <row r="413" s="6" customFormat="1" x14ac:dyDescent="0.45"/>
    <row r="414" s="6" customFormat="1" x14ac:dyDescent="0.45"/>
    <row r="415" s="6" customFormat="1" x14ac:dyDescent="0.45"/>
    <row r="416" s="6" customFormat="1" x14ac:dyDescent="0.45"/>
    <row r="417" s="6" customFormat="1" x14ac:dyDescent="0.45"/>
    <row r="418" s="6" customFormat="1" x14ac:dyDescent="0.45"/>
    <row r="419" s="6" customFormat="1" x14ac:dyDescent="0.45"/>
    <row r="420" s="6" customFormat="1" x14ac:dyDescent="0.45"/>
    <row r="421" s="6" customFormat="1" x14ac:dyDescent="0.45"/>
    <row r="422" s="6" customFormat="1" x14ac:dyDescent="0.45"/>
    <row r="423" s="6" customFormat="1" x14ac:dyDescent="0.45"/>
    <row r="424" s="6" customFormat="1" x14ac:dyDescent="0.45"/>
    <row r="425" s="6" customFormat="1" x14ac:dyDescent="0.45"/>
    <row r="426" s="6" customFormat="1" x14ac:dyDescent="0.45"/>
    <row r="427" s="6" customFormat="1" x14ac:dyDescent="0.45"/>
    <row r="428" s="6" customFormat="1" x14ac:dyDescent="0.45"/>
    <row r="429" s="6" customFormat="1" x14ac:dyDescent="0.45"/>
    <row r="430" s="6" customFormat="1" x14ac:dyDescent="0.45"/>
    <row r="431" s="6" customFormat="1" x14ac:dyDescent="0.45"/>
    <row r="432" s="6" customFormat="1" x14ac:dyDescent="0.45"/>
    <row r="433" s="6" customFormat="1" x14ac:dyDescent="0.45"/>
    <row r="434" s="6" customFormat="1" x14ac:dyDescent="0.45"/>
    <row r="435" s="6" customFormat="1" x14ac:dyDescent="0.45"/>
    <row r="436" s="6" customFormat="1" x14ac:dyDescent="0.45"/>
    <row r="437" s="6" customFormat="1" x14ac:dyDescent="0.45"/>
    <row r="438" s="6" customFormat="1" x14ac:dyDescent="0.45"/>
    <row r="439" s="6" customFormat="1" x14ac:dyDescent="0.45"/>
    <row r="440" s="6" customFormat="1" x14ac:dyDescent="0.45"/>
    <row r="441" s="6" customFormat="1" x14ac:dyDescent="0.45"/>
    <row r="442" s="6" customFormat="1" x14ac:dyDescent="0.45"/>
    <row r="443" s="6" customFormat="1" x14ac:dyDescent="0.45"/>
    <row r="444" s="6" customFormat="1" x14ac:dyDescent="0.45"/>
    <row r="445" s="6" customFormat="1" x14ac:dyDescent="0.45"/>
    <row r="446" s="6" customFormat="1" x14ac:dyDescent="0.45"/>
    <row r="447" s="6" customFormat="1" x14ac:dyDescent="0.45"/>
    <row r="448" s="6" customFormat="1" x14ac:dyDescent="0.45"/>
    <row r="449" spans="4:5" x14ac:dyDescent="0.45">
      <c r="D449" s="6"/>
      <c r="E449" s="6"/>
    </row>
    <row r="450" spans="4:5" x14ac:dyDescent="0.45">
      <c r="E450" s="6"/>
    </row>
  </sheetData>
  <mergeCells count="20">
    <mergeCell ref="C17:D17"/>
    <mergeCell ref="C18:D18"/>
    <mergeCell ref="C24:D24"/>
    <mergeCell ref="F7:G7"/>
    <mergeCell ref="C16:D16"/>
    <mergeCell ref="F8:G8"/>
    <mergeCell ref="F10:G10"/>
    <mergeCell ref="F9:G9"/>
    <mergeCell ref="C21:D21"/>
    <mergeCell ref="E23:F23"/>
    <mergeCell ref="C19:D19"/>
    <mergeCell ref="C20:D20"/>
    <mergeCell ref="C31:D31"/>
    <mergeCell ref="C29:D29"/>
    <mergeCell ref="C30:D30"/>
    <mergeCell ref="E24:F24"/>
    <mergeCell ref="B33:D33"/>
    <mergeCell ref="B32:D32"/>
    <mergeCell ref="E25:F25"/>
    <mergeCell ref="E26:F26"/>
  </mergeCells>
  <phoneticPr fontId="3" type="noConversion"/>
  <hyperlinks>
    <hyperlink ref="C11" r:id="rId1" xr:uid="{2EE16EF6-1CFF-418F-9DC3-23412DDFFA50}"/>
  </hyperlinks>
  <pageMargins left="0.75" right="0.75" top="1" bottom="1" header="0.5" footer="0.5"/>
  <pageSetup paperSize="9" scale="43" orientation="portrait" r:id="rId2"/>
  <headerFooter alignWithMargins="0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具名範圍</vt:lpstr>
      </vt:variant>
      <vt:variant>
        <vt:i4>1</vt:i4>
      </vt:variant>
    </vt:vector>
  </HeadingPairs>
  <TitlesOfParts>
    <vt:vector size="2" baseType="lpstr">
      <vt:lpstr>一年保固</vt:lpstr>
      <vt:lpstr>一年保固!Print_Area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Jeremy Huang</cp:lastModifiedBy>
  <cp:lastPrinted>2025-12-24T02:53:46Z</cp:lastPrinted>
  <dcterms:created xsi:type="dcterms:W3CDTF">1999-12-09T02:36:51Z</dcterms:created>
  <dcterms:modified xsi:type="dcterms:W3CDTF">2025-12-24T02:54:13Z</dcterms:modified>
</cp:coreProperties>
</file>