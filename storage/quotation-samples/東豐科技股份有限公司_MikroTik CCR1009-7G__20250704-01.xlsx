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MikroTik\"/>
    </mc:Choice>
  </mc:AlternateContent>
  <xr:revisionPtr revIDLastSave="0" documentId="13_ncr:1_{F0CD2F8B-5170-4F47-93EF-4F55E72AB37F}" xr6:coauthVersionLast="47" xr6:coauthVersionMax="47" xr10:uidLastSave="{00000000-0000-0000-0000-000000000000}"/>
  <bookViews>
    <workbookView xWindow="-110" yWindow="-110" windowWidth="19420" windowHeight="11500" tabRatio="458" xr2:uid="{00000000-000D-0000-FFFF-FFFF00000000}"/>
  </bookViews>
  <sheets>
    <sheet name="系統報價" sheetId="7" r:id="rId1"/>
  </sheets>
  <definedNames>
    <definedName name="_xlnm.Print_Area" localSheetId="0">系統報價!$A$1:$G$36</definedName>
  </definedNames>
  <calcPr calcId="191029"/>
</workbook>
</file>

<file path=xl/calcChain.xml><?xml version="1.0" encoding="utf-8"?>
<calcChain xmlns="http://schemas.openxmlformats.org/spreadsheetml/2006/main">
  <c r="G16" i="7" l="1"/>
  <c r="G18" i="7" s="1"/>
  <c r="G17" i="7" l="1"/>
  <c r="G19" i="7" l="1"/>
  <c r="G20" i="7" l="1"/>
</calcChain>
</file>

<file path=xl/sharedStrings.xml><?xml version="1.0" encoding="utf-8"?>
<sst xmlns="http://schemas.openxmlformats.org/spreadsheetml/2006/main" count="45" uniqueCount="45">
  <si>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</si>
  <si>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</si>
  <si>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</si>
  <si>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</si>
  <si>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</si>
  <si>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 xml:space="preserve"> </t>
    <phoneticPr fontId="3" type="noConversion"/>
  </si>
  <si>
    <t>本報價單於取得客戶之同意簽章後，視為正式訂單即刻生效。</t>
    <phoneticPr fontId="20" type="noConversion"/>
  </si>
  <si>
    <t>保固條件：</t>
    <phoneticPr fontId="3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</si>
  <si>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</si>
  <si>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</si>
  <si>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</si>
  <si>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</si>
  <si>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</si>
  <si>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</si>
  <si>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</si>
  <si>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</si>
  <si>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</si>
  <si>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</si>
  <si>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</si>
  <si>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</si>
  <si>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</si>
  <si>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</si>
  <si>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</si>
  <si>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</si>
  <si>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</si>
  <si>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</si>
  <si>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5%營業稅：</t>
    <phoneticPr fontId="3" type="noConversion"/>
  </si>
  <si>
    <t>未稅小計：</t>
    <phoneticPr fontId="3" type="noConversion"/>
  </si>
  <si>
    <t>SUB TOTAL：</t>
    <phoneticPr fontId="3" type="noConversion"/>
  </si>
  <si>
    <t>東豐科技股份有限公司</t>
    <phoneticPr fontId="3" type="noConversion"/>
  </si>
  <si>
    <r>
      <rPr>
        <b/>
        <sz val="20"/>
        <rFont val="細明體"/>
        <family val="3"/>
        <charset val="136"/>
      </rPr>
      <t>行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  <charset val="136"/>
      </rPr>
      <t>動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</si>
  <si>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t>報價單有效期限為 即日起14日內(含假日)有效</t>
    <phoneticPr fontId="2" type="noConversion"/>
  </si>
  <si>
    <t>西拉雅網路股份有限公司</t>
    <phoneticPr fontId="2" type="noConversion"/>
  </si>
  <si>
    <r>
      <t>統一編號：</t>
    </r>
    <r>
      <rPr>
        <sz val="16"/>
        <rFont val="微軟正黑體"/>
        <family val="2"/>
        <charset val="136"/>
      </rPr>
      <t>24688970</t>
    </r>
    <phoneticPr fontId="3" type="noConversion"/>
  </si>
  <si>
    <t>含稅金額：</t>
    <phoneticPr fontId="3" type="noConversion"/>
  </si>
  <si>
    <t>匯款或即期</t>
    <phoneticPr fontId="3" type="noConversion"/>
  </si>
  <si>
    <t>張雪真</t>
    <phoneticPr fontId="3" type="noConversion"/>
  </si>
  <si>
    <t>02-2791-9800#10</t>
    <phoneticPr fontId="3" type="noConversion"/>
  </si>
  <si>
    <t>0987-915-985 ; 0971-539-068</t>
    <phoneticPr fontId="3" type="noConversion"/>
  </si>
  <si>
    <t>sharchang@dongfong.com.tw</t>
    <phoneticPr fontId="3" type="noConversion"/>
  </si>
  <si>
    <r>
      <t xml:space="preserve">9核心 CPU:1.2GHz,RAM:2GB                                                                 
7 個 10/100/1000 Mbps 乙太網路連接埠
1 個 SFP 插槽                                                               </t>
    </r>
    <r>
      <rPr>
        <sz val="16"/>
        <rFont val="微軟正黑體"/>
        <family val="2"/>
        <charset val="136"/>
      </rPr>
      <t xml:space="preserve">
1 個 SFP+ 插槽</t>
    </r>
    <phoneticPr fontId="3" type="noConversion"/>
  </si>
  <si>
    <t>20250704-01</t>
    <phoneticPr fontId="3" type="noConversion"/>
  </si>
  <si>
    <t xml:space="preserve">一年 </t>
    <phoneticPr fontId="3" type="noConversion"/>
  </si>
  <si>
    <t xml:space="preserve">MikroTik 
CCR1009-7G-1C-1S+
Cloud Router Switch
(良品）
</t>
    <phoneticPr fontId="3" type="noConversion"/>
  </si>
  <si>
    <r>
      <rPr>
        <sz val="16"/>
        <rFont val="新細明體"/>
        <family val="1"/>
        <charset val="136"/>
      </rPr>
      <t>地址：新北市中和區</t>
    </r>
    <r>
      <rPr>
        <sz val="16"/>
        <rFont val="Microsoft JhengHei"/>
        <family val="1"/>
      </rPr>
      <t>建一路166號13樓之3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</si>
</sst>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8"/>
      <name val="新細明體"/>
      <family val="1"/>
      <charset val="136"/>
    </font>
    <font>
      <sz val="16"/>
      <name val="Microsoft JhengHei"/>
      <family val="1"/>
    </font>
    <font>
      <sz val="16"/>
      <name val="Calibr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9" fillId="0" borderId="0" xfId="0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176" fontId="8" fillId="2" borderId="3" xfId="1" applyNumberFormat="1" applyFont="1" applyFill="1" applyBorder="1" applyAlignment="1">
      <alignment horizontal="left" wrapText="1"/>
    </xf>
    <xf numFmtId="0" fontId="17" fillId="0" borderId="0" xfId="0" applyFont="1" applyAlignment="1">
      <alignment wrapText="1"/>
    </xf>
    <xf numFmtId="0" fontId="21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49" fontId="21" fillId="0" borderId="3" xfId="0" applyNumberFormat="1" applyFont="1" applyBorder="1" applyAlignment="1">
      <alignment horizontal="center" vertical="center" wrapText="1"/>
    </xf>
    <xf numFmtId="177" fontId="21" fillId="0" borderId="3" xfId="1" applyNumberFormat="1" applyFont="1" applyFill="1" applyBorder="1" applyAlignment="1">
      <alignment horizontal="right" vertical="center" wrapText="1"/>
    </xf>
    <xf numFmtId="177" fontId="21" fillId="0" borderId="3" xfId="1" applyNumberFormat="1" applyFont="1" applyFill="1" applyBorder="1" applyAlignment="1">
      <alignment horizontal="right" vertical="center"/>
    </xf>
    <xf numFmtId="49" fontId="21" fillId="0" borderId="3" xfId="0" applyNumberFormat="1" applyFont="1" applyBorder="1" applyAlignment="1">
      <alignment horizontal="center"/>
    </xf>
    <xf numFmtId="177" fontId="21" fillId="0" borderId="3" xfId="0" applyNumberFormat="1" applyFont="1" applyBorder="1" applyAlignment="1">
      <alignment horizontal="right" vertical="center"/>
    </xf>
    <xf numFmtId="49" fontId="21" fillId="0" borderId="3" xfId="1" applyNumberFormat="1" applyFont="1" applyFill="1" applyBorder="1" applyAlignment="1">
      <alignment wrapText="1"/>
    </xf>
    <xf numFmtId="0" fontId="25" fillId="0" borderId="0" xfId="0" applyFont="1" applyAlignment="1">
      <alignment horizontal="right"/>
    </xf>
    <xf numFmtId="0" fontId="27" fillId="0" borderId="0" xfId="0" applyFont="1" applyAlignment="1">
      <alignment horizontal="right" wrapText="1"/>
    </xf>
    <xf numFmtId="0" fontId="27" fillId="0" borderId="0" xfId="0" applyFont="1" applyAlignment="1">
      <alignment horizontal="right"/>
    </xf>
    <xf numFmtId="0" fontId="28" fillId="0" borderId="0" xfId="0" applyFont="1" applyAlignment="1">
      <alignment wrapText="1"/>
    </xf>
    <xf numFmtId="58" fontId="27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right" vertic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wrapText="1"/>
    </xf>
    <xf numFmtId="177" fontId="22" fillId="0" borderId="3" xfId="1" applyNumberFormat="1" applyFont="1" applyBorder="1" applyAlignment="1">
      <alignment horizontal="right" vertical="center"/>
    </xf>
    <xf numFmtId="0" fontId="33" fillId="0" borderId="0" xfId="0" applyFont="1"/>
    <xf numFmtId="0" fontId="34" fillId="0" borderId="0" xfId="0" applyFont="1"/>
    <xf numFmtId="0" fontId="30" fillId="0" borderId="0" xfId="0" applyFont="1" applyAlignment="1">
      <alignment wrapText="1"/>
    </xf>
    <xf numFmtId="49" fontId="27" fillId="0" borderId="0" xfId="0" applyNumberFormat="1" applyFont="1" applyAlignment="1">
      <alignment horizontal="left"/>
    </xf>
    <xf numFmtId="0" fontId="16" fillId="0" borderId="0" xfId="0" applyFont="1" applyAlignment="1">
      <alignment horizontal="left" vertical="center"/>
    </xf>
    <xf numFmtId="0" fontId="36" fillId="0" borderId="0" xfId="0" applyFont="1"/>
    <xf numFmtId="0" fontId="25" fillId="0" borderId="0" xfId="0" applyFont="1" applyAlignment="1">
      <alignment wrapText="1"/>
    </xf>
    <xf numFmtId="49" fontId="37" fillId="0" borderId="0" xfId="0" applyNumberFormat="1" applyFont="1" applyAlignment="1">
      <alignment wrapText="1"/>
    </xf>
    <xf numFmtId="49" fontId="25" fillId="0" borderId="0" xfId="0" applyNumberFormat="1" applyFont="1" applyAlignment="1">
      <alignment wrapText="1"/>
    </xf>
    <xf numFmtId="0" fontId="1" fillId="0" borderId="0" xfId="0" applyFont="1"/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2" fillId="0" borderId="0" xfId="2" applyFont="1" applyAlignment="1" applyProtection="1">
      <alignment wrapText="1"/>
    </xf>
    <xf numFmtId="0" fontId="35" fillId="0" borderId="0" xfId="0" applyFont="1" applyAlignment="1">
      <alignment wrapText="1"/>
    </xf>
    <xf numFmtId="0" fontId="23" fillId="0" borderId="0" xfId="0" applyFont="1"/>
    <xf numFmtId="0" fontId="0" fillId="0" borderId="0" xfId="0"/>
    <xf numFmtId="0" fontId="9" fillId="0" borderId="0" xfId="0" applyFont="1"/>
    <xf numFmtId="0" fontId="13" fillId="0" borderId="0" xfId="0" applyFont="1"/>
    <xf numFmtId="49" fontId="37" fillId="0" borderId="0" xfId="0" applyNumberFormat="1" applyFont="1" applyAlignment="1">
      <alignment wrapText="1"/>
    </xf>
    <xf numFmtId="0" fontId="38" fillId="0" borderId="0" xfId="0" applyFont="1" applyAlignment="1">
      <alignment wrapText="1"/>
    </xf>
    <xf numFmtId="177" fontId="21" fillId="0" borderId="3" xfId="0" applyNumberFormat="1" applyFont="1" applyBorder="1" applyAlignment="1">
      <alignment horizontal="right" vertical="center"/>
    </xf>
    <xf numFmtId="177" fontId="22" fillId="0" borderId="3" xfId="1" applyNumberFormat="1" applyFont="1" applyFill="1" applyBorder="1" applyAlignment="1">
      <alignment horizontal="right" wrapText="1"/>
    </xf>
    <xf numFmtId="177" fontId="21" fillId="0" borderId="3" xfId="0" applyNumberFormat="1" applyFont="1" applyBorder="1"/>
    <xf numFmtId="49" fontId="21" fillId="0" borderId="3" xfId="1" applyNumberFormat="1" applyFont="1" applyFill="1" applyBorder="1" applyAlignment="1">
      <alignment horizontal="left" wrapText="1"/>
    </xf>
    <xf numFmtId="0" fontId="37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0" fontId="14" fillId="0" borderId="0" xfId="0" applyFont="1" applyAlignment="1">
      <alignment horizontal="left"/>
    </xf>
    <xf numFmtId="0" fontId="26" fillId="0" borderId="5" xfId="0" applyFont="1" applyBorder="1"/>
    <xf numFmtId="0" fontId="14" fillId="0" borderId="0" xfId="0" applyFont="1"/>
    <xf numFmtId="0" fontId="17" fillId="0" borderId="0" xfId="0" applyFont="1" applyAlignment="1">
      <alignment wrapText="1"/>
    </xf>
    <xf numFmtId="0" fontId="21" fillId="0" borderId="6" xfId="0" applyFont="1" applyBorder="1" applyAlignment="1">
      <alignment horizontal="justify"/>
    </xf>
    <xf numFmtId="0" fontId="19" fillId="0" borderId="4" xfId="0" applyFont="1" applyBorder="1" applyAlignment="1">
      <alignment horizontal="left"/>
    </xf>
    <xf numFmtId="49" fontId="21" fillId="0" borderId="3" xfId="1" applyNumberFormat="1" applyFont="1" applyFill="1" applyBorder="1" applyAlignment="1">
      <alignment horizontal="left" vertical="center" wrapText="1"/>
    </xf>
    <xf numFmtId="0" fontId="4" fillId="0" borderId="0" xfId="2" applyAlignment="1" applyProtection="1">
      <alignment wrapText="1"/>
    </xf>
    <xf numFmtId="0" fontId="40" fillId="0" borderId="0" xfId="0" applyFont="1"/>
  </cellXfs>
  <cellStyles count="10">
    <cellStyle name="一般" xfId="0" builtinId="0"/>
    <cellStyle name="千分位" xfId="1" builtinId="3"/>
    <cellStyle name="千分位 2" xfId="4" xr:uid="{E27DB49C-EB3F-49C9-87EC-CB885FA3804F}"/>
    <cellStyle name="千分位 2 2" xfId="9" xr:uid="{2BFF4FDC-9FB9-4DFF-8853-F9A14EDA6432}"/>
    <cellStyle name="千分位 2 3" xfId="7" xr:uid="{47F63E27-6226-4C08-A42D-2BB28F5CB37B}"/>
    <cellStyle name="千分位 3" xfId="5" xr:uid="{B4898D46-B9CD-4CF6-A2F4-928C1903C645}"/>
    <cellStyle name="千分位 3 2" xfId="8" xr:uid="{AE305110-6A47-444C-A118-A34EEF893C10}"/>
    <cellStyle name="千分位 4" xfId="6" xr:uid="{E3312AC2-1EA4-48DE-B8CF-5A830C766593}"/>
    <cellStyle name="千分位 5" xfId="3" xr:uid="{D0461269-395B-406C-9403-F15BD6708C44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  <xdr:twoCellAnchor editAs="oneCell">
    <xdr:from>
      <xdr:col>3</xdr:col>
      <xdr:colOff>942975</xdr:colOff>
      <xdr:row>15</xdr:row>
      <xdr:rowOff>1201059</xdr:rowOff>
    </xdr:from>
    <xdr:to>
      <xdr:col>3</xdr:col>
      <xdr:colOff>3048000</xdr:colOff>
      <xdr:row>15</xdr:row>
      <xdr:rowOff>1616309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8CA640-2E89-484D-BF98-0B33EA594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975" y="6630309"/>
          <a:ext cx="2105025" cy="41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rchang@dongfong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50"/>
  <sheetViews>
    <sheetView tabSelected="1" topLeftCell="A9" zoomScale="60" zoomScaleNormal="60" zoomScaleSheetLayoutView="65" workbookViewId="0">
      <selection activeCell="Q9" sqref="Q9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30.08984375" style="5" customWidth="1"/>
    <col min="4" max="4" width="45.6328125" style="15" customWidth="1"/>
    <col min="5" max="5" width="21.26953125" style="15" customWidth="1"/>
    <col min="6" max="6" width="13" style="5" customWidth="1"/>
    <col min="7" max="7" width="21.08984375" style="5" customWidth="1"/>
    <col min="8" max="16384" width="9" style="5"/>
  </cols>
  <sheetData>
    <row r="3" spans="1:7" ht="21.5">
      <c r="A3" s="2"/>
      <c r="B3" s="1"/>
      <c r="C3" s="1"/>
      <c r="D3" s="11"/>
      <c r="E3" s="11"/>
      <c r="F3" s="1"/>
      <c r="G3" s="1"/>
    </row>
    <row r="4" spans="1:7" s="5" customFormat="1" ht="47" ph="1">
      <c r="A4" s="17" t="s" ph="1">
        <v>2</v>
      </c>
      <c r="B4" s="1" ph="1"/>
      <c r="C4" s="1" ph="1"/>
      <c r="D4" s="11" ph="1"/>
      <c r="E4" s="46" t="s" ph="1">
        <v>32</v>
      </c>
      <c r="F4" s="37" ph="1"/>
      <c r="G4" s="36" ph="1"/>
    </row>
    <row r="5" spans="1:7" ht="22">
      <c r="A5" s="2"/>
      <c r="B5" s="1"/>
      <c r="C5" s="1"/>
      <c r="D5" s="11"/>
      <c r="E5" s="1" t="s">
        <v>33</v>
      </c>
      <c r="F5" s="47"/>
      <c r="G5" s="38"/>
    </row>
    <row r="6" spans="1:7" ht="22.5" thickBot="1">
      <c r="A6" s="2"/>
      <c r="B6" s="6"/>
      <c r="C6" s="6"/>
      <c r="D6" s="13"/>
      <c r="E6" s="77" t="s">
        <v>44</v>
      </c>
      <c r="F6" s="37"/>
      <c r="G6" s="38"/>
    </row>
    <row r="7" spans="1:7" s="4" customFormat="1" ht="32.25" customHeight="1" thickTop="1" ph="1">
      <c r="A7" s="7" ph="1"/>
      <c r="B7" s="34" t="s" ph="1">
        <v>18</v>
      </c>
      <c r="C7" s="52" t="s" ph="1">
        <v>29</v>
      </c>
      <c r="D7" s="53"/>
      <c r="E7" s="31" t="s" ph="1">
        <v>17</v>
      </c>
      <c r="F7" s="58" t="s" ph="1">
        <v>41</v>
      </c>
      <c r="G7" s="58" ph="1"/>
    </row>
    <row r="8" spans="1:7" s="4" customFormat="1" ht="29" customHeight="1" ph="1">
      <c r="A8" s="8" ph="1"/>
      <c r="B8" s="32" t="s" ph="1">
        <v>19</v>
      </c>
      <c r="C8" s="48" t="s" ph="1">
        <v>36</v>
      </c>
      <c r="D8" s="48" ph="1"/>
      <c r="E8" s="39" t="s" ph="1">
        <v>21</v>
      </c>
      <c r="F8" s="56" t="s">
        <v>15</v>
      </c>
      <c r="G8" s="57"/>
    </row>
    <row r="9" spans="1:7" s="4" customFormat="1" ht="29" customHeight="1">
      <c r="A9" s="9"/>
      <c r="B9" s="32" t="s">
        <v>20</v>
      </c>
      <c r="C9" s="49" t="s">
        <v>37</v>
      </c>
      <c r="D9" s="50"/>
      <c r="E9" s="40" t="s">
        <v>22</v>
      </c>
      <c r="F9" s="59" t="s">
        <v>13</v>
      </c>
      <c r="G9" s="59"/>
    </row>
    <row r="10" spans="1:7" s="4" customFormat="1" ht="29" customHeight="1">
      <c r="A10" s="9"/>
      <c r="B10" s="32" t="s">
        <v>30</v>
      </c>
      <c r="C10" s="60" t="s">
        <v>38</v>
      </c>
      <c r="D10" s="61"/>
      <c r="E10" s="40" t="s">
        <v>23</v>
      </c>
      <c r="F10" s="59" t="s">
        <v>14</v>
      </c>
      <c r="G10" s="59"/>
    </row>
    <row r="11" spans="1:7" s="4" customFormat="1" ht="29" customHeight="1">
      <c r="A11" s="9"/>
      <c r="B11" s="35" t="s">
        <v>16</v>
      </c>
      <c r="C11" s="76" t="s" ph="1">
        <v>39</v>
      </c>
      <c r="D11" s="66"/>
      <c r="E11" s="33"/>
    </row>
    <row r="12" spans="1:7" s="4" customFormat="1" ht="33" customHeight="1" ph="1">
      <c r="A12" s="9" ph="1"/>
      <c r="B12" s="35"/>
      <c r="C12" s="54" ph="1"/>
      <c r="D12" s="55"/>
      <c r="E12" s="14" ph="1"/>
      <c r="F12" s="9" ph="1"/>
      <c r="G12" s="9" ph="1"/>
    </row>
    <row r="13" spans="1:7" s="4" customFormat="1" ht="27.5">
      <c r="A13" s="9"/>
      <c r="D13" s="14"/>
      <c r="E13" s="14"/>
      <c r="F13" s="9"/>
      <c r="G13" s="16"/>
    </row>
    <row r="14" spans="1:7" s="37" customFormat="1" ht="33.5">
      <c r="A14" s="42" t="s">
        <v>24</v>
      </c>
      <c r="B14" s="43"/>
      <c r="C14" s="43"/>
      <c r="D14" s="44"/>
      <c r="E14" s="44"/>
      <c r="F14" s="45" t="s">
        <v>25</v>
      </c>
    </row>
    <row r="15" spans="1:7" s="4" customFormat="1" ht="39.75" customHeight="1">
      <c r="A15" s="18" t="s">
        <v>1</v>
      </c>
      <c r="B15" s="19" t="s">
        <v>11</v>
      </c>
      <c r="C15" s="67" t="s">
        <v>3</v>
      </c>
      <c r="D15" s="68"/>
      <c r="E15" s="20" t="s">
        <v>12</v>
      </c>
      <c r="F15" s="19" t="s">
        <v>0</v>
      </c>
      <c r="G15" s="19" t="s">
        <v>10</v>
      </c>
    </row>
    <row r="16" spans="1:7" s="51" customFormat="1" ht="153.75" customHeight="1">
      <c r="A16" s="24">
        <v>1</v>
      </c>
      <c r="B16" s="24" t="s">
        <v>43</v>
      </c>
      <c r="C16" s="75" t="s">
        <v>40</v>
      </c>
      <c r="D16" s="75"/>
      <c r="E16" s="25">
        <v>13500</v>
      </c>
      <c r="F16" s="26">
        <v>1</v>
      </c>
      <c r="G16" s="41">
        <f>SUM(E16*F16)</f>
        <v>13500</v>
      </c>
    </row>
    <row r="17" spans="1:7" ht="27.25" customHeight="1">
      <c r="A17" s="22"/>
      <c r="B17" s="22"/>
      <c r="C17" s="29"/>
      <c r="D17" s="29"/>
      <c r="E17" s="63" t="s">
        <v>28</v>
      </c>
      <c r="F17" s="64"/>
      <c r="G17" s="28">
        <f>SUM(G16:G16)</f>
        <v>13500</v>
      </c>
    </row>
    <row r="18" spans="1:7" ht="27.25" customHeight="1">
      <c r="A18" s="22"/>
      <c r="B18" s="22" t="s">
        <v>7</v>
      </c>
      <c r="C18" s="29" t="s">
        <v>42</v>
      </c>
      <c r="D18" s="29"/>
      <c r="E18" s="63" t="s">
        <v>27</v>
      </c>
      <c r="F18" s="64"/>
      <c r="G18" s="28">
        <f>SUM(G16:G16)</f>
        <v>13500</v>
      </c>
    </row>
    <row r="19" spans="1:7" ht="27.25" customHeight="1">
      <c r="A19" s="27" ph="1"/>
      <c r="B19" s="22" ph="1"/>
      <c r="C19" s="65"/>
      <c r="D19" s="65"/>
      <c r="E19" s="62" t="s">
        <v>26</v>
      </c>
      <c r="F19" s="62"/>
      <c r="G19" s="28">
        <f>SUM(G17*1.05)-G17</f>
        <v>675</v>
      </c>
    </row>
    <row r="20" spans="1:7" ht="27.25" customHeight="1">
      <c r="A20" s="27" ph="1"/>
      <c r="B20" s="22" t="s" ph="1">
        <v>9</v>
      </c>
      <c r="C20" s="65" t="s">
        <v>35</v>
      </c>
      <c r="D20" s="65"/>
      <c r="E20" s="62" t="s">
        <v>34</v>
      </c>
      <c r="F20" s="62"/>
      <c r="G20" s="28">
        <f>SUM(G18:G19)</f>
        <v>14175</v>
      </c>
    </row>
    <row r="21" spans="1:7" ht="27.75" customHeight="1">
      <c r="A21" s="3"/>
      <c r="B21" s="30" t="s">
        <v>4</v>
      </c>
      <c r="C21" s="70" t="s">
        <v>31</v>
      </c>
      <c r="D21" s="70"/>
      <c r="E21" s="70"/>
      <c r="F21" s="70"/>
      <c r="G21" s="70"/>
    </row>
    <row r="22" spans="1:7" ht="27.75" customHeight="1">
      <c r="A22" s="3"/>
      <c r="B22" s="4"/>
      <c r="C22" s="71"/>
      <c r="D22" s="71"/>
      <c r="E22" s="17"/>
      <c r="F22" s="17"/>
      <c r="G22" s="17"/>
    </row>
    <row r="23" spans="1:7" ht="27.75" customHeight="1">
      <c r="A23" s="3"/>
      <c r="B23" s="4"/>
      <c r="C23" s="69" ph="1"/>
      <c r="D23" s="69" ph="1"/>
      <c r="E23" s="69" ph="1"/>
      <c r="F23" s="69" ph="1"/>
      <c r="G23" s="69" ph="1"/>
    </row>
    <row r="24" spans="1:7" ht="27.75" customHeight="1">
      <c r="A24" s="3"/>
      <c r="B24" s="4"/>
      <c r="C24" s="69" ph="1"/>
      <c r="D24" s="69" ph="1"/>
      <c r="E24" s="23" ph="1"/>
      <c r="F24" s="23" ph="1"/>
      <c r="G24" s="23" ph="1"/>
    </row>
    <row r="25" spans="1:7" s="10" customFormat="1" ht="29.25" customHeight="1">
      <c r="A25" s="3" ph="1"/>
      <c r="B25" s="4" ph="1"/>
      <c r="C25" s="69" ph="1"/>
      <c r="D25" s="69" ph="1"/>
    </row>
    <row r="26" spans="1:7" s="10" customFormat="1" ht="26.25" customHeight="1">
      <c r="A26" s="3"/>
      <c r="B26" s="4" t="s">
        <v>5</v>
      </c>
      <c r="C26" s="69" ph="1"/>
      <c r="D26" s="69" ph="1"/>
      <c r="E26" s="69" ph="1"/>
      <c r="F26" s="69" ph="1"/>
      <c r="G26" s="69" ph="1"/>
    </row>
    <row r="27" spans="1:7" s="10" customFormat="1" ht="26.25" customHeight="1" ph="1">
      <c r="A27" s="3" ph="1"/>
      <c r="B27" s="4" ph="1"/>
      <c r="C27" s="69" ph="1"/>
      <c r="D27" s="69" ph="1"/>
      <c r="E27" s="69" ph="1"/>
      <c r="F27" s="69" ph="1"/>
      <c r="G27" s="69" ph="1"/>
    </row>
    <row r="28" spans="1:7" s="10" customFormat="1" ht="22.5" customHeight="1">
      <c r="A28" s="3"/>
      <c r="B28" s="4"/>
      <c r="C28" s="69" ph="1"/>
      <c r="D28" s="69" ph="1"/>
      <c r="E28" s="69" ph="1"/>
      <c r="F28" s="69" ph="1"/>
      <c r="G28" s="69" ph="1"/>
    </row>
    <row r="29" spans="1:7" s="10" customFormat="1" ht="31.5" customHeight="1">
      <c r="A29" s="3"/>
      <c r="B29" s="4"/>
      <c r="C29" s="69" ph="1"/>
      <c r="D29" s="69" ph="1"/>
      <c r="E29" s="69" ph="1"/>
      <c r="F29" s="69" ph="1"/>
      <c r="G29" s="69" ph="1"/>
    </row>
    <row r="30" spans="1:7" s="10" customFormat="1" ht="31.5" customHeight="1">
      <c r="A30" s="3"/>
      <c r="B30" s="4"/>
      <c r="C30" s="71" ph="1"/>
      <c r="D30" s="71" ph="1"/>
      <c r="E30" s="71" ph="1"/>
      <c r="F30" s="71" ph="1"/>
      <c r="G30" s="71" ph="1"/>
    </row>
    <row r="31" spans="1:7" s="10" customFormat="1" ht="31.5" customHeight="1">
      <c r="A31" s="3"/>
      <c r="B31" s="4"/>
      <c r="C31" s="71" ph="1"/>
      <c r="D31" s="71" ph="1"/>
      <c r="E31" s="71" ph="1"/>
      <c r="F31" s="71" ph="1"/>
      <c r="G31" s="71" ph="1"/>
    </row>
    <row r="32" spans="1:7" s="10" customFormat="1" ht="31.5" customHeight="1">
      <c r="A32" s="3"/>
      <c r="B32" s="4"/>
      <c r="C32" s="71" ph="1"/>
      <c r="D32" s="71" ph="1"/>
      <c r="E32" s="71" ph="1"/>
      <c r="F32" s="71" ph="1"/>
      <c r="G32" s="71" ph="1"/>
    </row>
    <row r="33" spans="1:7" s="10" customFormat="1" ht="31.5" customHeight="1" thickBot="1">
      <c r="A33" s="12"/>
      <c r="B33" s="74" t="s">
        <v>8</v>
      </c>
      <c r="C33" s="74"/>
      <c r="D33" s="74"/>
      <c r="E33"/>
      <c r="F33"/>
      <c r="G33"/>
    </row>
    <row r="34" spans="1:7" s="10" customFormat="1" ht="31.5" customHeight="1">
      <c r="A34" s="2"/>
      <c r="B34" s="73" t="s">
        <v>6</v>
      </c>
      <c r="C34" s="73"/>
      <c r="D34" s="73"/>
      <c r="E34"/>
      <c r="F34"/>
      <c r="G34"/>
    </row>
    <row r="35" spans="1:7" s="10" customFormat="1" ht="31.5" customHeight="1" ph="1">
      <c r="A35" s="2"/>
      <c r="B35" s="21"/>
      <c r="C35" s="14"/>
      <c r="D35" s="14"/>
      <c r="E35"/>
      <c r="F35"/>
      <c r="G35"/>
    </row>
    <row r="36" spans="1:7" s="10" customFormat="1" ht="31.5" customHeight="1">
      <c r="A36" s="2"/>
      <c r="B36" s="72"/>
      <c r="C36" s="72"/>
      <c r="D36" s="72"/>
      <c r="E36" s="72"/>
      <c r="F36" s="72"/>
      <c r="G36" s="72"/>
    </row>
    <row r="37" spans="1:7" s="10" customFormat="1" ht="31.5" customHeight="1" ph="1">
      <c r="A37" s="2" ph="1"/>
      <c r="B37" s="2" ph="1"/>
      <c r="C37" s="2" ph="1"/>
      <c r="D37" s="2" ph="1"/>
      <c r="E37" s="2" ph="1"/>
      <c r="F37" s="2" ph="1"/>
      <c r="G37" s="2" ph="1"/>
    </row>
    <row r="38" spans="1:7" s="10" customFormat="1" ht="31.5" customHeight="1">
      <c r="A38" s="2"/>
      <c r="B38" s="2"/>
      <c r="C38" s="2"/>
      <c r="D38" s="2"/>
      <c r="E38" s="2"/>
      <c r="F38" s="2"/>
      <c r="G38" s="2"/>
    </row>
    <row r="39" spans="1:7" s="2" customFormat="1" ht="27.75" customHeight="1">
      <c r="A39" s="5"/>
      <c r="B39" s="5"/>
      <c r="C39" s="5"/>
      <c r="D39" s="5"/>
      <c r="E39" s="5"/>
      <c r="F39" s="5"/>
      <c r="G39" s="5"/>
    </row>
    <row r="40" spans="1:7" s="2" customFormat="1" ht="33" customHeight="1">
      <c r="A40" s="5"/>
      <c r="B40" s="5"/>
      <c r="C40" s="5"/>
      <c r="D40" s="5"/>
      <c r="E40" s="5"/>
      <c r="F40" s="5"/>
      <c r="G40" s="5"/>
    </row>
    <row r="41" spans="1:7" s="2" customFormat="1" ht="33" customHeight="1">
      <c r="A41" s="5"/>
      <c r="B41" s="5"/>
      <c r="C41" s="5"/>
      <c r="D41" s="5"/>
      <c r="E41" s="5"/>
      <c r="F41" s="5"/>
      <c r="G41" s="5"/>
    </row>
    <row r="42" spans="1:7" s="2" customFormat="1" ht="47.25" customHeight="1">
      <c r="A42" s="5"/>
      <c r="B42" s="5"/>
      <c r="C42" s="5"/>
      <c r="D42" s="5"/>
      <c r="E42" s="5"/>
      <c r="F42" s="5"/>
      <c r="G42" s="5"/>
    </row>
    <row r="43" spans="1:7" s="2" customFormat="1" ht="45" customHeight="1" ph="1">
      <c r="A43" s="5"/>
      <c r="B43" s="5"/>
      <c r="C43" s="5"/>
      <c r="D43" s="5"/>
      <c r="E43" s="5"/>
      <c r="F43" s="5"/>
      <c r="G43" s="5"/>
    </row>
    <row r="44" spans="1:7" s="2" customFormat="1" ht="19.5">
      <c r="A44" s="5"/>
      <c r="B44" s="5"/>
      <c r="C44" s="5"/>
      <c r="D44" s="5"/>
      <c r="E44" s="5"/>
      <c r="F44" s="5"/>
      <c r="G44" s="5"/>
    </row>
    <row r="45" spans="1:7">
      <c r="D45" s="5"/>
      <c r="E45" s="5"/>
    </row>
    <row r="46" spans="1:7">
      <c r="D46" s="5"/>
      <c r="E46" s="5"/>
    </row>
    <row r="47" spans="1:7">
      <c r="D47" s="5"/>
      <c r="E47" s="5"/>
    </row>
    <row r="48" spans="1:7">
      <c r="D48" s="5"/>
      <c r="E48" s="5"/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  <row r="446" s="5" customFormat="1"/>
    <row r="447" s="5" customFormat="1"/>
    <row r="448" s="5" customFormat="1"/>
    <row r="449" s="5" customFormat="1"/>
    <row r="450" s="5" customFormat="1"/>
  </sheetData>
  <mergeCells count="31">
    <mergeCell ref="B36:G36"/>
    <mergeCell ref="B34:D34"/>
    <mergeCell ref="C27:G27"/>
    <mergeCell ref="C32:G32"/>
    <mergeCell ref="B33:D33"/>
    <mergeCell ref="C29:G29"/>
    <mergeCell ref="C30:G30"/>
    <mergeCell ref="C31:G31"/>
    <mergeCell ref="C28:G28"/>
    <mergeCell ref="C26:G26"/>
    <mergeCell ref="C20:D20"/>
    <mergeCell ref="C25:D25"/>
    <mergeCell ref="C21:G21"/>
    <mergeCell ref="C23:G23"/>
    <mergeCell ref="C24:D24"/>
    <mergeCell ref="C22:D22"/>
    <mergeCell ref="E19:F19"/>
    <mergeCell ref="E20:F20"/>
    <mergeCell ref="E17:F17"/>
    <mergeCell ref="C19:D19"/>
    <mergeCell ref="F10:G10"/>
    <mergeCell ref="E18:F18"/>
    <mergeCell ref="C11:D11"/>
    <mergeCell ref="C15:D15"/>
    <mergeCell ref="C16:D16"/>
    <mergeCell ref="C7:D7"/>
    <mergeCell ref="C12:D12"/>
    <mergeCell ref="F8:G8"/>
    <mergeCell ref="F7:G7"/>
    <mergeCell ref="F9:G9"/>
    <mergeCell ref="C10:D10"/>
  </mergeCells>
  <phoneticPr fontId="3" type="noConversion"/>
  <hyperlinks>
    <hyperlink ref="C11" r:id="rId1" xr:uid="{46777E7D-2C2A-4B31-B404-97F6168A3B0C}"/>
  </hyperlinks>
  <pageMargins left="0.75" right="0.75" top="1" bottom="1" header="0.5" footer="0.5"/>
  <pageSetup paperSize="9" scale="5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2025-07-04T11:58:16Z</dcterms:modified>
</cp:coreProperties>
</file>