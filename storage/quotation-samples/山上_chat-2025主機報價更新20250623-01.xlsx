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eremy\Desktop\客戶資料\山上\"/>
    </mc:Choice>
  </mc:AlternateContent>
  <xr:revisionPtr revIDLastSave="0" documentId="13_ncr:1_{15EDD382-75C0-479A-8C1B-F1AE5E4970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客戶系統報價單 (硬體、軟體)" sheetId="1" r:id="rId1"/>
  </sheets>
  <calcPr calcId="191029"/>
</workbook>
</file>

<file path=xl/calcChain.xml><?xml version="1.0" encoding="utf-8"?>
<calcChain xmlns="http://schemas.openxmlformats.org/spreadsheetml/2006/main">
  <c r="H23" i="1" l="1"/>
  <c r="H29" i="1"/>
  <c r="H28" i="1"/>
  <c r="H27" i="1" a="1"/>
  <c r="H27" i="1" s="1"/>
  <c r="H24" i="1"/>
  <c r="H22" i="1"/>
  <c r="H26" i="1" l="1" a="1"/>
  <c r="H26" i="1" s="1"/>
  <c r="H18" i="1"/>
  <c r="H33" i="1" a="1"/>
  <c r="H33" i="1" s="1"/>
  <c r="H32" i="1" l="1" a="1"/>
  <c r="H32" i="1" s="1"/>
  <c r="H25" i="1" l="1" a="1"/>
  <c r="H25" i="1" s="1"/>
  <c r="H21" i="1" a="1"/>
  <c r="H21" i="1" s="1"/>
  <c r="H19" i="1" l="1" a="1"/>
  <c r="H19" i="1" s="1"/>
  <c r="H20" i="1" l="1" a="1"/>
  <c r="H20" i="1" s="1"/>
  <c r="H31" i="1" a="1"/>
  <c r="H31" i="1" s="1"/>
  <c r="H35" i="1" l="1"/>
  <c r="H37" i="1" s="1"/>
</calcChain>
</file>

<file path=xl/sharedStrings.xml><?xml version="1.0" encoding="utf-8"?>
<sst xmlns="http://schemas.openxmlformats.org/spreadsheetml/2006/main" count="69" uniqueCount="69">
  <si>
    <t xml:space="preserve">  </t>
  </si>
  <si>
    <t>顯赫資訊股份有限公司</t>
  </si>
  <si>
    <t>統一編號：80426746</t>
  </si>
  <si>
    <t>地址：新北市中和區建一路166號13樓之3</t>
  </si>
  <si>
    <t xml:space="preserve">公 司 名 稱  :  </t>
  </si>
  <si>
    <t xml:space="preserve">聯 絡 人  :  </t>
  </si>
  <si>
    <t xml:space="preserve">聯絡人:   </t>
  </si>
  <si>
    <t>黃默涵</t>
  </si>
  <si>
    <t xml:space="preserve">聯 絡 電 話  :  </t>
  </si>
  <si>
    <t xml:space="preserve">電話 :  </t>
  </si>
  <si>
    <t xml:space="preserve">傳真 :    </t>
  </si>
  <si>
    <t>02-8226-9211</t>
  </si>
  <si>
    <t xml:space="preserve">專案  :  </t>
  </si>
  <si>
    <t xml:space="preserve"> 專屬語音通訊平台</t>
  </si>
  <si>
    <t>貴公司所詢問之產品,報價如下:</t>
  </si>
  <si>
    <t>單位：新台幣 元</t>
  </si>
  <si>
    <t>項次</t>
  </si>
  <si>
    <t>產品名稱</t>
  </si>
  <si>
    <t>規格</t>
  </si>
  <si>
    <t>單價</t>
  </si>
  <si>
    <t>小計</t>
  </si>
  <si>
    <t>註：</t>
  </si>
  <si>
    <t>保固：</t>
  </si>
  <si>
    <t>付款條件：</t>
  </si>
  <si>
    <t>專案</t>
  </si>
  <si>
    <t>含稅總價 :</t>
  </si>
  <si>
    <t>Remark   :</t>
  </si>
  <si>
    <t>1. 報價單有效期限為 即日起三十日內(含假日)有效</t>
  </si>
  <si>
    <t>2.維護期間完成設備調整。</t>
  </si>
  <si>
    <t>Signature</t>
  </si>
  <si>
    <t>本報價單於取得客戶之同意簽章後，視為正式訂單即刻生效。</t>
  </si>
  <si>
    <t xml:space="preserve">報價日期 :    </t>
    <phoneticPr fontId="6" type="noConversion"/>
  </si>
  <si>
    <t>02-8226-9200#120</t>
    <phoneticPr fontId="6" type="noConversion"/>
  </si>
  <si>
    <r>
      <rPr>
        <b/>
        <sz val="14"/>
        <color theme="1"/>
        <rFont val="微軟正黑體"/>
        <family val="2"/>
        <charset val="136"/>
      </rPr>
      <t>數量</t>
    </r>
    <r>
      <rPr>
        <b/>
        <sz val="14"/>
        <color theme="1"/>
        <rFont val="Arial"/>
        <family val="2"/>
      </rPr>
      <t>(</t>
    </r>
    <r>
      <rPr>
        <b/>
        <sz val="14"/>
        <color theme="1"/>
        <rFont val="微軟正黑體"/>
        <family val="2"/>
        <charset val="136"/>
      </rPr>
      <t>年</t>
    </r>
    <r>
      <rPr>
        <b/>
        <sz val="14"/>
        <color theme="1"/>
        <rFont val="Arial"/>
        <family val="2"/>
      </rPr>
      <t>)</t>
    </r>
    <phoneticPr fontId="6" type="noConversion"/>
  </si>
  <si>
    <r>
      <t>VOIP</t>
    </r>
    <r>
      <rPr>
        <b/>
        <sz val="14"/>
        <color theme="1"/>
        <rFont val="Microsoft JhengHei"/>
        <family val="2"/>
      </rPr>
      <t>系統(硬體)</t>
    </r>
    <phoneticPr fontId="6" type="noConversion"/>
  </si>
  <si>
    <r>
      <t>VOIP</t>
    </r>
    <r>
      <rPr>
        <b/>
        <sz val="14"/>
        <color theme="1"/>
        <rFont val="Microsoft JhengHei"/>
        <family val="2"/>
      </rPr>
      <t>系統(軟體)</t>
    </r>
    <phoneticPr fontId="6" type="noConversion"/>
  </si>
  <si>
    <t>改善客戶通話及訊息流暢度，因應設備老舊更換伺服器設備。</t>
    <phoneticPr fontId="6" type="noConversion"/>
  </si>
  <si>
    <r>
      <rPr>
        <sz val="12"/>
        <color theme="1"/>
        <rFont val="微軟正黑體"/>
        <family val="2"/>
        <charset val="136"/>
      </rPr>
      <t>•支援</t>
    </r>
    <r>
      <rPr>
        <sz val="12"/>
        <color theme="1"/>
        <rFont val="Arial"/>
        <family val="2"/>
      </rPr>
      <t xml:space="preserve">60 coucurrent  call </t>
    </r>
    <r>
      <rPr>
        <sz val="12"/>
        <color theme="1"/>
        <rFont val="微軟正黑體"/>
        <family val="2"/>
        <charset val="136"/>
      </rPr>
      <t>，</t>
    </r>
    <r>
      <rPr>
        <sz val="12"/>
        <color theme="1"/>
        <rFont val="Arial"/>
        <family val="2"/>
      </rPr>
      <t>1000 register</t>
    </r>
    <r>
      <rPr>
        <sz val="12"/>
        <color theme="1"/>
        <rFont val="微軟正黑體"/>
        <family val="2"/>
        <charset val="136"/>
      </rPr>
      <t xml:space="preserve">。
</t>
    </r>
    <r>
      <rPr>
        <sz val="12"/>
        <color theme="1"/>
        <rFont val="Arial"/>
        <family val="2"/>
      </rPr>
      <t>•</t>
    </r>
    <r>
      <rPr>
        <sz val="12"/>
        <color theme="1"/>
        <rFont val="微軟正黑體"/>
        <family val="2"/>
        <charset val="136"/>
      </rPr>
      <t>支援</t>
    </r>
    <r>
      <rPr>
        <sz val="12"/>
        <color theme="1"/>
        <rFont val="Arial"/>
        <family val="2"/>
      </rPr>
      <t>TLS v1.2
•</t>
    </r>
    <r>
      <rPr>
        <sz val="12"/>
        <color theme="1"/>
        <rFont val="微軟正黑體"/>
        <family val="2"/>
        <charset val="136"/>
      </rPr>
      <t>支援</t>
    </r>
    <r>
      <rPr>
        <sz val="12"/>
        <color theme="1"/>
        <rFont val="Arial"/>
        <family val="2"/>
      </rPr>
      <t xml:space="preserve">Secure RTP (SRTP) </t>
    </r>
    <r>
      <rPr>
        <sz val="12"/>
        <color theme="1"/>
        <rFont val="微軟正黑體"/>
        <family val="2"/>
        <charset val="136"/>
      </rPr>
      <t xml:space="preserve">媒體加密
</t>
    </r>
    <r>
      <rPr>
        <sz val="12"/>
        <color theme="1"/>
        <rFont val="Arial"/>
        <family val="2"/>
      </rPr>
      <t>•</t>
    </r>
    <r>
      <rPr>
        <sz val="12"/>
        <color theme="1"/>
        <rFont val="微軟正黑體"/>
        <family val="2"/>
        <charset val="136"/>
      </rPr>
      <t>支援</t>
    </r>
    <r>
      <rPr>
        <sz val="12"/>
        <color theme="1"/>
        <rFont val="Arial"/>
        <family val="2"/>
      </rPr>
      <t xml:space="preserve">HA </t>
    </r>
    <r>
      <rPr>
        <sz val="12"/>
        <color theme="1"/>
        <rFont val="微軟正黑體"/>
        <family val="2"/>
        <charset val="136"/>
      </rPr>
      <t xml:space="preserve">備援
</t>
    </r>
    <r>
      <rPr>
        <sz val="12"/>
        <color theme="1"/>
        <rFont val="Arial"/>
        <family val="2"/>
      </rPr>
      <t>•</t>
    </r>
    <r>
      <rPr>
        <sz val="12"/>
        <color theme="1"/>
        <rFont val="微軟正黑體"/>
        <family val="2"/>
        <charset val="136"/>
      </rPr>
      <t>支援</t>
    </r>
    <r>
      <rPr>
        <sz val="12"/>
        <color theme="1"/>
        <rFont val="Arial"/>
        <family val="2"/>
      </rPr>
      <t>Topology hiding; User privacy
•</t>
    </r>
    <r>
      <rPr>
        <sz val="12"/>
        <color theme="1"/>
        <rFont val="微軟正黑體"/>
        <family val="2"/>
        <charset val="136"/>
      </rPr>
      <t>支援</t>
    </r>
    <r>
      <rPr>
        <sz val="12"/>
        <color theme="1"/>
        <rFont val="Arial"/>
        <family val="2"/>
      </rPr>
      <t>DoS/DDoS line rate protection, bandwidth throttling</t>
    </r>
    <phoneticPr fontId="6" type="noConversion"/>
  </si>
  <si>
    <r>
      <rPr>
        <sz val="12"/>
        <color theme="1"/>
        <rFont val="微軟正黑體"/>
        <family val="2"/>
        <charset val="136"/>
      </rPr>
      <t>•標準工業級</t>
    </r>
    <r>
      <rPr>
        <sz val="12"/>
        <color theme="1"/>
        <rFont val="Arial"/>
        <family val="2"/>
      </rPr>
      <t>19</t>
    </r>
    <r>
      <rPr>
        <sz val="12"/>
        <color theme="1"/>
        <rFont val="微軟正黑體"/>
        <family val="2"/>
        <charset val="136"/>
      </rPr>
      <t>寸</t>
    </r>
    <r>
      <rPr>
        <sz val="12"/>
        <color theme="1"/>
        <rFont val="Arial"/>
        <family val="2"/>
      </rPr>
      <t>1U</t>
    </r>
    <r>
      <rPr>
        <sz val="12"/>
        <color theme="1"/>
        <rFont val="微軟正黑體"/>
        <family val="2"/>
        <charset val="136"/>
      </rPr>
      <t xml:space="preserve">高度
</t>
    </r>
    <r>
      <rPr>
        <sz val="12"/>
        <color theme="1"/>
        <rFont val="Arial"/>
        <family val="2"/>
      </rPr>
      <t>•Intel CPU,8G RAM(</t>
    </r>
    <r>
      <rPr>
        <sz val="12"/>
        <color theme="1"/>
        <rFont val="微軟正黑體"/>
        <family val="2"/>
        <charset val="136"/>
      </rPr>
      <t>含</t>
    </r>
    <r>
      <rPr>
        <sz val="12"/>
        <color theme="1"/>
        <rFont val="Arial"/>
        <family val="2"/>
      </rPr>
      <t>)</t>
    </r>
    <r>
      <rPr>
        <sz val="12"/>
        <color theme="1"/>
        <rFont val="微軟正黑體"/>
        <family val="2"/>
        <charset val="136"/>
      </rPr>
      <t>以上</t>
    </r>
    <r>
      <rPr>
        <sz val="12"/>
        <color theme="1"/>
        <rFont val="Arial"/>
        <family val="2"/>
      </rPr>
      <t xml:space="preserve">/512G </t>
    </r>
    <r>
      <rPr>
        <sz val="12"/>
        <color theme="1"/>
        <rFont val="微軟正黑體"/>
        <family val="2"/>
        <charset val="136"/>
      </rPr>
      <t>硬碟空間</t>
    </r>
    <r>
      <rPr>
        <sz val="12"/>
        <color theme="1"/>
        <rFont val="Arial"/>
        <family val="2"/>
      </rPr>
      <t>(</t>
    </r>
    <r>
      <rPr>
        <sz val="12"/>
        <color theme="1"/>
        <rFont val="微軟正黑體"/>
        <family val="2"/>
        <charset val="136"/>
      </rPr>
      <t>含</t>
    </r>
    <r>
      <rPr>
        <sz val="12"/>
        <color theme="1"/>
        <rFont val="Arial"/>
        <family val="2"/>
      </rPr>
      <t>)</t>
    </r>
    <r>
      <rPr>
        <sz val="12"/>
        <color theme="1"/>
        <rFont val="微軟正黑體"/>
        <family val="2"/>
        <charset val="136"/>
      </rPr>
      <t>以上，
含</t>
    </r>
    <r>
      <rPr>
        <sz val="12"/>
        <color theme="1"/>
        <rFont val="Arial"/>
        <family val="2"/>
      </rPr>
      <t xml:space="preserve">W11 </t>
    </r>
    <r>
      <rPr>
        <sz val="12"/>
        <color theme="1"/>
        <rFont val="微軟正黑體"/>
        <family val="2"/>
        <charset val="136"/>
      </rPr>
      <t>隨機版作業系統</t>
    </r>
    <phoneticPr fontId="6" type="noConversion"/>
  </si>
  <si>
    <r>
      <rPr>
        <sz val="12"/>
        <color theme="1"/>
        <rFont val="微軟正黑體"/>
        <family val="2"/>
        <charset val="136"/>
      </rPr>
      <t>•硬體：一部</t>
    </r>
    <r>
      <rPr>
        <sz val="12"/>
        <color theme="1"/>
        <rFont val="Arial"/>
        <family val="2"/>
      </rPr>
      <t xml:space="preserve"> E1 VoIP Gateway  </t>
    </r>
    <r>
      <rPr>
        <sz val="12"/>
        <color theme="1"/>
        <rFont val="微軟正黑體"/>
        <family val="2"/>
        <charset val="136"/>
      </rPr>
      <t>，</t>
    </r>
    <r>
      <rPr>
        <sz val="12"/>
        <color theme="1"/>
        <rFont val="Arial"/>
        <family val="2"/>
      </rPr>
      <t xml:space="preserve"> 2 </t>
    </r>
    <r>
      <rPr>
        <sz val="12"/>
        <color theme="1"/>
        <rFont val="微軟正黑體"/>
        <family val="2"/>
        <charset val="136"/>
      </rPr>
      <t>路</t>
    </r>
    <r>
      <rPr>
        <sz val="12"/>
        <color theme="1"/>
        <rFont val="Arial"/>
        <family val="2"/>
      </rPr>
      <t xml:space="preserve"> E1 PRI Port </t>
    </r>
    <r>
      <rPr>
        <sz val="12"/>
        <color theme="1"/>
        <rFont val="微軟正黑體"/>
        <family val="2"/>
        <charset val="136"/>
      </rPr>
      <t>授權
•軟體：原有</t>
    </r>
    <r>
      <rPr>
        <sz val="12"/>
        <color theme="1"/>
        <rFont val="Arial"/>
        <family val="2"/>
      </rPr>
      <t xml:space="preserve">E1 Gateway </t>
    </r>
    <r>
      <rPr>
        <sz val="12"/>
        <color theme="1"/>
        <rFont val="微軟正黑體"/>
        <family val="2"/>
        <charset val="136"/>
      </rPr>
      <t>新增</t>
    </r>
    <r>
      <rPr>
        <sz val="12"/>
        <color theme="1"/>
        <rFont val="Arial"/>
        <family val="2"/>
      </rPr>
      <t>1</t>
    </r>
    <r>
      <rPr>
        <sz val="12"/>
        <color theme="1"/>
        <rFont val="微軟正黑體"/>
        <family val="2"/>
        <charset val="136"/>
      </rPr>
      <t>路</t>
    </r>
    <r>
      <rPr>
        <sz val="12"/>
        <color theme="1"/>
        <rFont val="Arial"/>
        <family val="2"/>
      </rPr>
      <t xml:space="preserve">E1 PRI Port </t>
    </r>
    <r>
      <rPr>
        <sz val="12"/>
        <color theme="1"/>
        <rFont val="微軟正黑體"/>
        <family val="2"/>
        <charset val="136"/>
      </rPr>
      <t>授權
•整合：與局內既有交換機與</t>
    </r>
    <r>
      <rPr>
        <sz val="12"/>
        <color theme="1"/>
        <rFont val="Arial"/>
        <family val="2"/>
      </rPr>
      <t xml:space="preserve">SBC1000 </t>
    </r>
    <r>
      <rPr>
        <sz val="12"/>
        <color theme="1"/>
        <rFont val="微軟正黑體"/>
        <family val="2"/>
        <charset val="136"/>
      </rPr>
      <t>進行硬體備援架構測試整合</t>
    </r>
    <phoneticPr fontId="6" type="noConversion"/>
  </si>
  <si>
    <r>
      <rPr>
        <sz val="12"/>
        <color theme="1"/>
        <rFont val="微軟正黑體"/>
        <family val="2"/>
        <charset val="136"/>
      </rPr>
      <t>•網路交換器，含正式服務區與管理網路區所需的乙太網路交換器
•支援</t>
    </r>
    <r>
      <rPr>
        <sz val="12"/>
        <color theme="1"/>
        <rFont val="Arial"/>
        <family val="2"/>
      </rPr>
      <t xml:space="preserve">netflow v9
</t>
    </r>
    <r>
      <rPr>
        <sz val="12"/>
        <color theme="1"/>
        <rFont val="微軟正黑體"/>
        <family val="2"/>
        <charset val="136"/>
      </rPr>
      <t>•支援</t>
    </r>
    <r>
      <rPr>
        <sz val="12"/>
        <color theme="1"/>
        <rFont val="Arial"/>
        <family val="2"/>
      </rPr>
      <t xml:space="preserve">1G*16,10Gbps *2 
</t>
    </r>
    <r>
      <rPr>
        <sz val="12"/>
        <color theme="1"/>
        <rFont val="微軟正黑體"/>
        <family val="2"/>
        <charset val="136"/>
      </rPr>
      <t>支援</t>
    </r>
    <r>
      <rPr>
        <sz val="12"/>
        <color theme="1"/>
        <rFont val="Arial"/>
        <family val="2"/>
      </rPr>
      <t xml:space="preserve">Vlan </t>
    </r>
    <r>
      <rPr>
        <sz val="12"/>
        <color theme="1"/>
        <rFont val="微軟正黑體"/>
        <family val="2"/>
        <charset val="136"/>
      </rPr>
      <t>設定</t>
    </r>
    <phoneticPr fontId="6" type="noConversion"/>
  </si>
  <si>
    <r>
      <rPr>
        <sz val="12"/>
        <color theme="1"/>
        <rFont val="微軟正黑體"/>
        <family val="2"/>
        <charset val="136"/>
      </rPr>
      <t>•標準</t>
    </r>
    <r>
      <rPr>
        <sz val="12"/>
        <color theme="1"/>
        <rFont val="Arial"/>
        <family val="2"/>
      </rPr>
      <t>19"</t>
    </r>
    <r>
      <rPr>
        <sz val="12"/>
        <color theme="1"/>
        <rFont val="微軟正黑體"/>
        <family val="2"/>
        <charset val="136"/>
      </rPr>
      <t>吋機架</t>
    </r>
    <r>
      <rPr>
        <sz val="12"/>
        <color theme="1"/>
        <rFont val="Arial"/>
        <family val="2"/>
      </rPr>
      <t xml:space="preserve"> 2U</t>
    </r>
    <r>
      <rPr>
        <sz val="12"/>
        <color theme="1"/>
        <rFont val="微軟正黑體"/>
        <family val="2"/>
        <charset val="136"/>
      </rPr>
      <t>伺服器</t>
    </r>
    <r>
      <rPr>
        <sz val="12"/>
        <color theme="1"/>
        <rFont val="Arial"/>
        <family val="2"/>
      </rPr>
      <t xml:space="preserve">
•intel Intel® Xeon® CPU x 2
•256 GB RAM
•4TB SSD HDD x 4 RAID 5
</t>
    </r>
    <r>
      <rPr>
        <sz val="12"/>
        <color theme="1"/>
        <rFont val="微軟正黑體"/>
        <family val="2"/>
        <charset val="136"/>
      </rPr>
      <t>•雙電源供應器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微軟正黑體"/>
        <family val="2"/>
        <charset val="136"/>
      </rPr>
      <t>•支援資料庫備援</t>
    </r>
    <r>
      <rPr>
        <sz val="12"/>
        <color theme="1"/>
        <rFont val="Arial"/>
        <family val="2"/>
      </rPr>
      <t xml:space="preserve">
</t>
    </r>
    <r>
      <rPr>
        <sz val="12"/>
        <color rgb="FFFF0000"/>
        <rFont val="Microsoft JhengHei"/>
        <family val="2"/>
        <charset val="136"/>
      </rPr>
      <t>此主機安裝</t>
    </r>
    <r>
      <rPr>
        <sz val="12"/>
        <color rgb="FFFF0000"/>
        <rFont val="Arial"/>
        <family val="2"/>
      </rPr>
      <t>SONIC WALL CONTROLLER</t>
    </r>
    <r>
      <rPr>
        <sz val="12"/>
        <color theme="1"/>
        <rFont val="微軟正黑體"/>
        <family val="2"/>
        <charset val="136"/>
      </rPr>
      <t>、</t>
    </r>
    <r>
      <rPr>
        <sz val="12"/>
        <color rgb="FFFF0000"/>
        <rFont val="微軟正黑體"/>
        <family val="2"/>
        <charset val="136"/>
      </rPr>
      <t>SIEM</t>
    </r>
    <r>
      <rPr>
        <sz val="12"/>
        <color rgb="FFFF0000"/>
        <rFont val="Microsoft JhengHei UI"/>
        <family val="2"/>
        <charset val="136"/>
      </rPr>
      <t>、網管軟體</t>
    </r>
    <phoneticPr fontId="6" type="noConversion"/>
  </si>
  <si>
    <r>
      <t xml:space="preserve">Mikrotik </t>
    </r>
    <r>
      <rPr>
        <sz val="12"/>
        <color theme="1"/>
        <rFont val="微軟正黑體"/>
        <family val="2"/>
        <charset val="136"/>
      </rPr>
      <t xml:space="preserve">路由器
</t>
    </r>
    <r>
      <rPr>
        <sz val="12"/>
        <color theme="1"/>
        <rFont val="Arial"/>
        <family val="2"/>
      </rPr>
      <t>CCR2004-16G-2S+</t>
    </r>
    <phoneticPr fontId="6" type="noConversion"/>
  </si>
  <si>
    <t>Ribbon SBC1000 
E1 Gateway</t>
    <phoneticPr fontId="6" type="noConversion"/>
  </si>
  <si>
    <r>
      <t>VoIP</t>
    </r>
    <r>
      <rPr>
        <sz val="12"/>
        <color theme="1"/>
        <rFont val="微軟正黑體"/>
        <family val="2"/>
        <charset val="136"/>
      </rPr>
      <t>平台系統</t>
    </r>
    <r>
      <rPr>
        <sz val="12"/>
        <color theme="1"/>
        <rFont val="Arial"/>
        <family val="2"/>
      </rPr>
      <t>(</t>
    </r>
    <r>
      <rPr>
        <sz val="12"/>
        <color theme="1"/>
        <rFont val="微軟正黑體"/>
        <family val="2"/>
        <charset val="136"/>
      </rPr>
      <t>軟體</t>
    </r>
    <r>
      <rPr>
        <sz val="12"/>
        <color theme="1"/>
        <rFont val="Arial"/>
        <family val="2"/>
      </rPr>
      <t xml:space="preserve">) </t>
    </r>
    <r>
      <rPr>
        <sz val="12"/>
        <color theme="1"/>
        <rFont val="Microsoft JhengHei"/>
        <family val="2"/>
        <charset val="136"/>
      </rPr>
      <t xml:space="preserve">
</t>
    </r>
    <phoneticPr fontId="6" type="noConversion"/>
  </si>
  <si>
    <r>
      <t xml:space="preserve">Wazuh SIEM </t>
    </r>
    <r>
      <rPr>
        <sz val="12"/>
        <color theme="1"/>
        <rFont val="微軟正黑體"/>
        <family val="2"/>
        <charset val="136"/>
      </rPr>
      <t>系統</t>
    </r>
    <phoneticPr fontId="6" type="noConversion"/>
  </si>
  <si>
    <r>
      <t xml:space="preserve">Gentrice SNM </t>
    </r>
    <r>
      <rPr>
        <sz val="12"/>
        <color theme="1"/>
        <rFont val="微軟正黑體"/>
        <family val="2"/>
        <charset val="136"/>
      </rPr>
      <t>網管系統</t>
    </r>
    <phoneticPr fontId="6" type="noConversion"/>
  </si>
  <si>
    <r>
      <rPr>
        <sz val="12"/>
        <color theme="1"/>
        <rFont val="微軟正黑體"/>
        <family val="2"/>
        <charset val="136"/>
      </rPr>
      <t>•內網</t>
    </r>
    <r>
      <rPr>
        <sz val="12"/>
        <color theme="1"/>
        <rFont val="Arial"/>
        <family val="2"/>
      </rPr>
      <t xml:space="preserve">Netflow </t>
    </r>
    <r>
      <rPr>
        <sz val="12"/>
        <color theme="1"/>
        <rFont val="微軟正黑體"/>
        <family val="2"/>
        <charset val="136"/>
      </rPr>
      <t>蒐集及網路設備管理
•進階網路拓樸圖</t>
    </r>
    <phoneticPr fontId="6" type="noConversion"/>
  </si>
  <si>
    <r>
      <rPr>
        <sz val="12"/>
        <color theme="1"/>
        <rFont val="微軟正黑體"/>
        <family val="2"/>
        <charset val="136"/>
      </rPr>
      <t>•更新系統設定。
•動態網路</t>
    </r>
    <r>
      <rPr>
        <sz val="12"/>
        <color theme="1"/>
        <rFont val="Arial"/>
        <family val="2"/>
      </rPr>
      <t>port</t>
    </r>
    <r>
      <rPr>
        <sz val="12"/>
        <color theme="1"/>
        <rFont val="微軟正黑體"/>
        <family val="2"/>
        <charset val="136"/>
      </rPr>
      <t>資源配置</t>
    </r>
    <r>
      <rPr>
        <sz val="12"/>
        <color theme="1"/>
        <rFont val="Arial"/>
        <family val="2"/>
      </rPr>
      <t>, Auto UDP Port Reset</t>
    </r>
    <r>
      <rPr>
        <sz val="12"/>
        <color theme="1"/>
        <rFont val="微軟正黑體"/>
        <family val="2"/>
        <charset val="136"/>
      </rPr>
      <t xml:space="preserve">
•相容性測試，底層系統架構部分微調。
</t>
    </r>
    <r>
      <rPr>
        <sz val="12"/>
        <color theme="1"/>
        <rFont val="Arial"/>
        <family val="2"/>
      </rPr>
      <t xml:space="preserve">             </t>
    </r>
    <phoneticPr fontId="6" type="noConversion"/>
  </si>
  <si>
    <r>
      <t xml:space="preserve">VoIP </t>
    </r>
    <r>
      <rPr>
        <sz val="12"/>
        <color theme="1"/>
        <rFont val="微軟正黑體"/>
        <family val="2"/>
        <charset val="136"/>
      </rPr>
      <t>專用</t>
    </r>
    <r>
      <rPr>
        <sz val="12"/>
        <color theme="1"/>
        <rFont val="Arial"/>
        <family val="2"/>
      </rPr>
      <t xml:space="preserve"> SBC
AudioCodes M Serious</t>
    </r>
    <phoneticPr fontId="6" type="noConversion"/>
  </si>
  <si>
    <t>F/W Hardware</t>
    <phoneticPr fontId="6" type="noConversion"/>
  </si>
  <si>
    <t xml:space="preserve">F/W Software License </t>
    <phoneticPr fontId="6" type="noConversion"/>
  </si>
  <si>
    <r>
      <rPr>
        <sz val="12"/>
        <color theme="1"/>
        <rFont val="細明體"/>
        <family val="2"/>
        <charset val="136"/>
      </rPr>
      <t>保固三</t>
    </r>
    <r>
      <rPr>
        <sz val="12"/>
        <color theme="1"/>
        <rFont val="Microsoft JhengHei"/>
        <family val="2"/>
      </rPr>
      <t>年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Microsoft JhengHei"/>
        <family val="2"/>
        <charset val="136"/>
      </rPr>
      <t>至</t>
    </r>
    <r>
      <rPr>
        <sz val="12"/>
        <color theme="1"/>
        <rFont val="Arial"/>
        <family val="2"/>
      </rPr>
      <t>2028/12/31)</t>
    </r>
    <phoneticPr fontId="6" type="noConversion"/>
  </si>
  <si>
    <r>
      <t>•SonicWall F/W 5</t>
    </r>
    <r>
      <rPr>
        <sz val="12"/>
        <color theme="1"/>
        <rFont val="微軟正黑體"/>
        <family val="2"/>
        <charset val="136"/>
      </rPr>
      <t>套</t>
    </r>
    <r>
      <rPr>
        <sz val="12"/>
        <color theme="1"/>
        <rFont val="Arial"/>
        <family val="2"/>
      </rPr>
      <t xml:space="preserve"> 
•SonicWall controller X1 </t>
    </r>
    <r>
      <rPr>
        <sz val="12"/>
        <color theme="1"/>
        <rFont val="微軟正黑體"/>
        <family val="2"/>
        <charset val="136"/>
      </rPr>
      <t>支援</t>
    </r>
    <r>
      <rPr>
        <sz val="12"/>
        <color theme="1"/>
        <rFont val="Arial"/>
        <family val="2"/>
      </rPr>
      <t>IPS</t>
    </r>
    <r>
      <rPr>
        <sz val="12"/>
        <color theme="1"/>
        <rFont val="微軟正黑體"/>
        <family val="2"/>
        <charset val="136"/>
      </rPr>
      <t>功能</t>
    </r>
    <r>
      <rPr>
        <sz val="12"/>
        <color theme="1"/>
        <rFont val="Arial"/>
        <family val="2"/>
      </rPr>
      <t xml:space="preserve">
•</t>
    </r>
    <r>
      <rPr>
        <sz val="12"/>
        <color theme="1"/>
        <rFont val="微軟正黑體"/>
        <family val="2"/>
        <charset val="136"/>
      </rPr>
      <t>授權期間</t>
    </r>
    <r>
      <rPr>
        <sz val="12"/>
        <color theme="1"/>
        <rFont val="Arial"/>
        <family val="2"/>
      </rPr>
      <t xml:space="preserve"> (2026/01/01~2028/12/31)</t>
    </r>
    <r>
      <rPr>
        <sz val="12"/>
        <color theme="1"/>
        <rFont val="微軟正黑體"/>
        <family val="2"/>
        <charset val="136"/>
      </rPr>
      <t>，共36個月。</t>
    </r>
    <r>
      <rPr>
        <sz val="12"/>
        <color theme="1"/>
        <rFont val="Arial"/>
        <family val="2"/>
      </rPr>
      <t xml:space="preserve">
</t>
    </r>
    <r>
      <rPr>
        <sz val="12"/>
        <color theme="1"/>
        <rFont val="微軟正黑體"/>
        <family val="2"/>
        <charset val="136"/>
      </rPr>
      <t>•維護條件：</t>
    </r>
    <r>
      <rPr>
        <sz val="12"/>
        <color theme="1"/>
        <rFont val="Arial"/>
        <family val="2"/>
      </rPr>
      <t>7x24</t>
    </r>
    <r>
      <rPr>
        <sz val="12"/>
        <color theme="1"/>
        <rFont val="微軟正黑體"/>
        <family val="2"/>
        <charset val="136"/>
      </rPr>
      <t>問題諮詢服務及故障排除，</t>
    </r>
    <r>
      <rPr>
        <sz val="12"/>
        <color theme="1"/>
        <rFont val="Arial"/>
        <family val="2"/>
      </rPr>
      <t>2</t>
    </r>
    <r>
      <rPr>
        <sz val="12"/>
        <color theme="1"/>
        <rFont val="微軟正黑體"/>
        <family val="2"/>
        <charset val="136"/>
      </rPr>
      <t>小時電話回覆。</t>
    </r>
    <r>
      <rPr>
        <sz val="12"/>
        <color theme="1"/>
        <rFont val="Arial"/>
        <family val="2"/>
      </rPr>
      <t xml:space="preserve">        </t>
    </r>
    <phoneticPr fontId="6" type="noConversion"/>
  </si>
  <si>
    <r>
      <rPr>
        <sz val="12"/>
        <color theme="1"/>
        <rFont val="微軟正黑體"/>
        <family val="2"/>
        <charset val="136"/>
      </rPr>
      <t>•年度訂閱制，訂閱期間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微軟正黑體"/>
        <family val="2"/>
        <charset val="136"/>
      </rPr>
      <t>至</t>
    </r>
    <r>
      <rPr>
        <sz val="12"/>
        <color theme="1"/>
        <rFont val="Arial"/>
        <family val="2"/>
      </rPr>
      <t xml:space="preserve">~2028/12/31)
</t>
    </r>
    <r>
      <rPr>
        <sz val="12"/>
        <color theme="1"/>
        <rFont val="微軟正黑體"/>
        <family val="2"/>
        <charset val="136"/>
      </rPr>
      <t>•提供本案主機設備端點資安防護，提供入侵偵測及防•禦機制與資訊彙整，
•資安事件處理與報告，惡意程式分析。
•含</t>
    </r>
    <r>
      <rPr>
        <sz val="12"/>
        <color theme="1"/>
        <rFont val="Arial"/>
        <family val="2"/>
      </rPr>
      <t xml:space="preserve">Linux , windows  agent </t>
    </r>
    <r>
      <rPr>
        <sz val="12"/>
        <color theme="1"/>
        <rFont val="微軟正黑體"/>
        <family val="2"/>
        <charset val="136"/>
      </rPr>
      <t>授權</t>
    </r>
    <phoneticPr fontId="6" type="noConversion"/>
  </si>
  <si>
    <r>
      <rPr>
        <sz val="12"/>
        <color theme="1"/>
        <rFont val="細明體"/>
        <family val="2"/>
        <charset val="136"/>
      </rPr>
      <t>•模組式的</t>
    </r>
    <r>
      <rPr>
        <sz val="12"/>
        <color theme="1"/>
        <rFont val="Arial"/>
        <family val="2"/>
        <charset val="136"/>
      </rPr>
      <t>LCD KVM</t>
    </r>
    <r>
      <rPr>
        <sz val="12"/>
        <color theme="1"/>
        <rFont val="細明體"/>
        <family val="2"/>
        <charset val="136"/>
      </rPr>
      <t>切換器</t>
    </r>
    <r>
      <rPr>
        <sz val="12"/>
        <color theme="1"/>
        <rFont val="Arial"/>
        <family val="2"/>
        <charset val="136"/>
      </rPr>
      <t>(</t>
    </r>
    <r>
      <rPr>
        <sz val="12"/>
        <color theme="1"/>
        <rFont val="細明體"/>
        <family val="2"/>
        <charset val="136"/>
      </rPr>
      <t>螢幕</t>
    </r>
    <r>
      <rPr>
        <sz val="12"/>
        <color theme="1"/>
        <rFont val="Arial"/>
        <family val="2"/>
        <charset val="136"/>
      </rPr>
      <t>/</t>
    </r>
    <r>
      <rPr>
        <sz val="12"/>
        <color theme="1"/>
        <rFont val="細明體"/>
        <family val="2"/>
        <charset val="136"/>
      </rPr>
      <t>鍵盤</t>
    </r>
    <r>
      <rPr>
        <sz val="12"/>
        <color theme="1"/>
        <rFont val="Arial"/>
        <family val="2"/>
        <charset val="136"/>
      </rPr>
      <t>/</t>
    </r>
    <r>
      <rPr>
        <sz val="12"/>
        <color theme="1"/>
        <rFont val="細明體"/>
        <family val="2"/>
        <charset val="136"/>
      </rPr>
      <t>觸控板</t>
    </r>
    <r>
      <rPr>
        <sz val="12"/>
        <color theme="1"/>
        <rFont val="Arial"/>
        <family val="2"/>
        <charset val="136"/>
      </rPr>
      <t>/KVM)
•</t>
    </r>
    <r>
      <rPr>
        <sz val="12"/>
        <color theme="1"/>
        <rFont val="細明體"/>
        <family val="2"/>
        <charset val="136"/>
      </rPr>
      <t xml:space="preserve">支援多媒體USB鍵盤(PC、Mac 及Sun)
</t>
    </r>
    <r>
      <rPr>
        <sz val="12"/>
        <color theme="1"/>
        <rFont val="Arial"/>
        <family val="2"/>
        <charset val="136"/>
      </rPr>
      <t>•</t>
    </r>
    <r>
      <rPr>
        <sz val="12"/>
        <color theme="1"/>
        <rFont val="細明體"/>
        <family val="2"/>
        <charset val="136"/>
      </rPr>
      <t xml:space="preserve">標準工業級19寸1U高度
</t>
    </r>
    <r>
      <rPr>
        <sz val="12"/>
        <color theme="1"/>
        <rFont val="Arial"/>
        <family val="2"/>
        <charset val="136"/>
      </rPr>
      <t>•</t>
    </r>
    <r>
      <rPr>
        <sz val="12"/>
        <color theme="1"/>
        <rFont val="細明體"/>
        <family val="2"/>
        <charset val="136"/>
      </rPr>
      <t>可翻轉LCD螢幕</t>
    </r>
    <phoneticPr fontId="6" type="noConversion"/>
  </si>
  <si>
    <r>
      <t>VoIP</t>
    </r>
    <r>
      <rPr>
        <sz val="12"/>
        <color theme="1"/>
        <rFont val="微軟正黑體"/>
        <family val="2"/>
        <charset val="136"/>
      </rPr>
      <t>終端</t>
    </r>
    <r>
      <rPr>
        <sz val="12"/>
        <color theme="1"/>
        <rFont val="Arial"/>
        <family val="2"/>
      </rPr>
      <t xml:space="preserve">+
</t>
    </r>
    <r>
      <rPr>
        <sz val="12"/>
        <color theme="1"/>
        <rFont val="微軟正黑體"/>
        <family val="2"/>
        <charset val="136"/>
      </rPr>
      <t>通訊測試設備</t>
    </r>
    <r>
      <rPr>
        <sz val="12"/>
        <color theme="1"/>
        <rFont val="Arial"/>
        <family val="2"/>
      </rPr>
      <t xml:space="preserve">
(Android)</t>
    </r>
    <phoneticPr fontId="6" type="noConversion"/>
  </si>
  <si>
    <t>VoIP 終端
通訊測試設備
(ioS)</t>
    <phoneticPr fontId="6" type="noConversion"/>
  </si>
  <si>
    <r>
      <t>•</t>
    </r>
    <r>
      <rPr>
        <sz val="12"/>
        <color theme="1"/>
        <rFont val="微軟正黑體"/>
        <family val="2"/>
        <charset val="136"/>
      </rPr>
      <t>參考廠牌型號</t>
    </r>
    <r>
      <rPr>
        <sz val="12"/>
        <color theme="1"/>
        <rFont val="Arial"/>
        <family val="2"/>
        <charset val="136"/>
      </rPr>
      <t xml:space="preserve">:Samsung Galaxy'S25 </t>
    </r>
    <r>
      <rPr>
        <sz val="12"/>
        <color theme="1"/>
        <rFont val="微軟正黑體"/>
        <family val="2"/>
        <charset val="136"/>
      </rPr>
      <t>優規或同等品</t>
    </r>
    <r>
      <rPr>
        <sz val="12"/>
        <color theme="1"/>
        <rFont val="Arial"/>
        <family val="2"/>
        <charset val="136"/>
      </rPr>
      <t xml:space="preserve">
•</t>
    </r>
    <r>
      <rPr>
        <sz val="12"/>
        <color theme="1"/>
        <rFont val="微軟正黑體"/>
        <family val="2"/>
        <charset val="136"/>
      </rPr>
      <t xml:space="preserve">含保護殼及電源轉接器
</t>
    </r>
    <r>
      <rPr>
        <sz val="12"/>
        <color theme="1"/>
        <rFont val="Arial"/>
        <family val="2"/>
        <charset val="136"/>
      </rPr>
      <t>•</t>
    </r>
    <r>
      <rPr>
        <sz val="12"/>
        <color theme="1"/>
        <rFont val="微軟正黑體"/>
        <family val="2"/>
        <charset val="136"/>
      </rPr>
      <t>通過</t>
    </r>
    <r>
      <rPr>
        <sz val="12"/>
        <color theme="1"/>
        <rFont val="Arial"/>
        <family val="2"/>
        <charset val="136"/>
      </rPr>
      <t>NCC</t>
    </r>
    <r>
      <rPr>
        <sz val="12"/>
        <color theme="1"/>
        <rFont val="微軟正黑體"/>
        <family val="2"/>
        <charset val="136"/>
      </rPr>
      <t xml:space="preserve">規範認證
</t>
    </r>
    <r>
      <rPr>
        <sz val="12"/>
        <color theme="1"/>
        <rFont val="Arial"/>
        <family val="2"/>
        <charset val="136"/>
      </rPr>
      <t xml:space="preserve">•RAM:8GB </t>
    </r>
    <r>
      <rPr>
        <sz val="12"/>
        <color theme="1"/>
        <rFont val="微軟正黑體"/>
        <family val="2"/>
        <charset val="136"/>
      </rPr>
      <t xml:space="preserve">或以上
</t>
    </r>
    <r>
      <rPr>
        <sz val="12"/>
        <color theme="1"/>
        <rFont val="Arial"/>
        <family val="2"/>
        <charset val="136"/>
      </rPr>
      <t>•ROM:256GB·</t>
    </r>
    <r>
      <rPr>
        <sz val="12"/>
        <color theme="1"/>
        <rFont val="微軟正黑體"/>
        <family val="2"/>
        <charset val="136"/>
      </rPr>
      <t xml:space="preserve">或以上
</t>
    </r>
    <r>
      <rPr>
        <sz val="12"/>
        <color theme="1"/>
        <rFont val="Arial"/>
        <family val="2"/>
        <charset val="136"/>
      </rPr>
      <t>•CPU:Qualcomm·Snapdragon·8</t>
    </r>
    <r>
      <rPr>
        <sz val="12"/>
        <color theme="1"/>
        <rFont val="微軟正黑體"/>
        <family val="2"/>
        <charset val="136"/>
      </rPr>
      <t>、</t>
    </r>
    <r>
      <rPr>
        <sz val="12"/>
        <color theme="1"/>
        <rFont val="Arial"/>
        <family val="2"/>
        <charset val="136"/>
      </rPr>
      <t xml:space="preserve">Google Tensor-G4 
</t>
    </r>
    <r>
      <rPr>
        <sz val="12"/>
        <color theme="1"/>
        <rFont val="微軟正黑體"/>
        <family val="2"/>
        <charset val="136"/>
      </rPr>
      <t>以上</t>
    </r>
    <r>
      <rPr>
        <sz val="12"/>
        <color theme="1"/>
        <rFont val="Arial"/>
        <family val="2"/>
        <charset val="136"/>
      </rPr>
      <t xml:space="preserve">
•</t>
    </r>
    <r>
      <rPr>
        <sz val="12"/>
        <color theme="1"/>
        <rFont val="微軟正黑體"/>
        <family val="2"/>
        <charset val="136"/>
      </rPr>
      <t>預設出廠作業系統</t>
    </r>
    <r>
      <rPr>
        <sz val="12"/>
        <color theme="1"/>
        <rFont val="Arial"/>
        <family val="2"/>
        <charset val="136"/>
      </rPr>
      <t>:Android·</t>
    </r>
    <r>
      <rPr>
        <sz val="12"/>
        <color theme="1"/>
        <rFont val="微軟正黑體"/>
        <family val="2"/>
        <charset val="136"/>
      </rPr>
      <t>為</t>
    </r>
    <r>
      <rPr>
        <sz val="12"/>
        <color theme="1"/>
        <rFont val="Arial"/>
        <family val="2"/>
        <charset val="136"/>
      </rPr>
      <t xml:space="preserve"> 14 </t>
    </r>
    <r>
      <rPr>
        <sz val="12"/>
        <color theme="1"/>
        <rFont val="微軟正黑體"/>
        <family val="2"/>
        <charset val="136"/>
      </rPr>
      <t>或以上</t>
    </r>
    <r>
      <rPr>
        <sz val="12"/>
        <color theme="1"/>
        <rFont val="Arial"/>
        <family val="2"/>
        <charset val="136"/>
      </rPr>
      <t xml:space="preserve">
•</t>
    </r>
    <r>
      <rPr>
        <sz val="12"/>
        <color theme="1"/>
        <rFont val="微軟正黑體"/>
        <family val="2"/>
        <charset val="136"/>
      </rPr>
      <t>螢幕尺寸</t>
    </r>
    <r>
      <rPr>
        <sz val="12"/>
        <color theme="1"/>
        <rFont val="Arial"/>
        <family val="2"/>
        <charset val="136"/>
      </rPr>
      <t>(</t>
    </r>
    <r>
      <rPr>
        <sz val="12"/>
        <color theme="1"/>
        <rFont val="微軟正黑體"/>
        <family val="2"/>
        <charset val="136"/>
      </rPr>
      <t>英吋</t>
    </r>
    <r>
      <rPr>
        <sz val="12"/>
        <color theme="1"/>
        <rFont val="Arial"/>
        <family val="2"/>
        <charset val="136"/>
      </rPr>
      <t>):6</t>
    </r>
    <r>
      <rPr>
        <sz val="12"/>
        <color theme="1"/>
        <rFont val="微軟正黑體"/>
        <family val="2"/>
        <charset val="136"/>
      </rPr>
      <t>或以上
•本項設備保固依原廠保固條款</t>
    </r>
    <phoneticPr fontId="6" type="noConversion"/>
  </si>
  <si>
    <r>
      <t>•</t>
    </r>
    <r>
      <rPr>
        <sz val="12"/>
        <color theme="1"/>
        <rFont val="微軟正黑體"/>
        <family val="2"/>
        <charset val="136"/>
      </rPr>
      <t>參考廠牌型號</t>
    </r>
    <r>
      <rPr>
        <sz val="12"/>
        <color theme="1"/>
        <rFont val="Arial"/>
        <family val="2"/>
        <charset val="136"/>
      </rPr>
      <t xml:space="preserve">:Apple iPhone 16 </t>
    </r>
    <r>
      <rPr>
        <sz val="12"/>
        <color theme="1"/>
        <rFont val="微軟正黑體"/>
        <family val="2"/>
        <charset val="136"/>
      </rPr>
      <t>優規或同等品</t>
    </r>
    <r>
      <rPr>
        <sz val="12"/>
        <color theme="1"/>
        <rFont val="Arial"/>
        <family val="2"/>
        <charset val="136"/>
      </rPr>
      <t xml:space="preserve">
•</t>
    </r>
    <r>
      <rPr>
        <sz val="12"/>
        <color theme="1"/>
        <rFont val="微軟正黑體"/>
        <family val="2"/>
        <charset val="136"/>
      </rPr>
      <t xml:space="preserve">含保護殼及電源轉接器
</t>
    </r>
    <r>
      <rPr>
        <sz val="12"/>
        <color theme="1"/>
        <rFont val="Arial"/>
        <family val="2"/>
        <charset val="136"/>
      </rPr>
      <t>•</t>
    </r>
    <r>
      <rPr>
        <sz val="12"/>
        <color theme="1"/>
        <rFont val="微軟正黑體"/>
        <family val="2"/>
        <charset val="136"/>
      </rPr>
      <t>通過</t>
    </r>
    <r>
      <rPr>
        <sz val="12"/>
        <color theme="1"/>
        <rFont val="Arial"/>
        <family val="2"/>
        <charset val="136"/>
      </rPr>
      <t>NCC</t>
    </r>
    <r>
      <rPr>
        <sz val="12"/>
        <color theme="1"/>
        <rFont val="微軟正黑體"/>
        <family val="2"/>
        <charset val="136"/>
      </rPr>
      <t xml:space="preserve">規範認證
</t>
    </r>
    <r>
      <rPr>
        <sz val="12"/>
        <color theme="1"/>
        <rFont val="Arial"/>
        <family val="2"/>
        <charset val="136"/>
      </rPr>
      <t xml:space="preserve">•RAM:8GB </t>
    </r>
    <r>
      <rPr>
        <sz val="12"/>
        <color theme="1"/>
        <rFont val="微軟正黑體"/>
        <family val="2"/>
        <charset val="136"/>
      </rPr>
      <t xml:space="preserve">或以上
</t>
    </r>
    <r>
      <rPr>
        <sz val="12"/>
        <color theme="1"/>
        <rFont val="Arial"/>
        <family val="2"/>
        <charset val="136"/>
      </rPr>
      <t>•ROM:256GB·</t>
    </r>
    <r>
      <rPr>
        <sz val="12"/>
        <color theme="1"/>
        <rFont val="微軟正黑體"/>
        <family val="2"/>
        <charset val="136"/>
      </rPr>
      <t xml:space="preserve">或以上
</t>
    </r>
    <r>
      <rPr>
        <sz val="12"/>
        <color theme="1"/>
        <rFont val="Arial"/>
        <family val="2"/>
        <charset val="136"/>
      </rPr>
      <t>•CPU:A18</t>
    </r>
    <r>
      <rPr>
        <sz val="12"/>
        <color theme="1"/>
        <rFont val="微軟正黑體"/>
        <family val="2"/>
        <charset val="136"/>
      </rPr>
      <t>晶片或以上</t>
    </r>
    <r>
      <rPr>
        <sz val="12"/>
        <color theme="1"/>
        <rFont val="Arial"/>
        <family val="2"/>
        <charset val="136"/>
      </rPr>
      <t xml:space="preserve">
•</t>
    </r>
    <r>
      <rPr>
        <sz val="12"/>
        <color theme="1"/>
        <rFont val="微軟正黑體"/>
        <family val="2"/>
        <charset val="136"/>
      </rPr>
      <t>預設出廠作業系統</t>
    </r>
    <r>
      <rPr>
        <sz val="12"/>
        <color theme="1"/>
        <rFont val="Arial"/>
        <family val="2"/>
        <charset val="136"/>
      </rPr>
      <t>:i0S</t>
    </r>
    <r>
      <rPr>
        <sz val="12"/>
        <color theme="1"/>
        <rFont val="微軟正黑體"/>
        <family val="2"/>
        <charset val="136"/>
      </rPr>
      <t>為18或以上</t>
    </r>
    <r>
      <rPr>
        <sz val="12"/>
        <color theme="1"/>
        <rFont val="Arial"/>
        <family val="2"/>
        <charset val="136"/>
      </rPr>
      <t xml:space="preserve">
•</t>
    </r>
    <r>
      <rPr>
        <sz val="12"/>
        <color theme="1"/>
        <rFont val="微軟正黑體"/>
        <family val="2"/>
        <charset val="136"/>
      </rPr>
      <t>螢幕尺寸</t>
    </r>
    <r>
      <rPr>
        <sz val="12"/>
        <color theme="1"/>
        <rFont val="Arial"/>
        <family val="2"/>
        <charset val="136"/>
      </rPr>
      <t>(</t>
    </r>
    <r>
      <rPr>
        <sz val="12"/>
        <color theme="1"/>
        <rFont val="微軟正黑體"/>
        <family val="2"/>
        <charset val="136"/>
      </rPr>
      <t>英吋</t>
    </r>
    <r>
      <rPr>
        <sz val="12"/>
        <color theme="1"/>
        <rFont val="Arial"/>
        <family val="2"/>
        <charset val="136"/>
      </rPr>
      <t>):6</t>
    </r>
    <r>
      <rPr>
        <sz val="12"/>
        <color theme="1"/>
        <rFont val="微軟正黑體"/>
        <family val="2"/>
        <charset val="136"/>
      </rPr>
      <t>或以上
•本項設備保固依原廠保固條款</t>
    </r>
    <phoneticPr fontId="6" type="noConversion"/>
  </si>
  <si>
    <r>
      <t>LCD KVM</t>
    </r>
    <r>
      <rPr>
        <sz val="12"/>
        <color theme="1"/>
        <rFont val="細明體"/>
        <family val="3"/>
        <charset val="136"/>
      </rPr>
      <t xml:space="preserve">多電腦切換器
</t>
    </r>
    <r>
      <rPr>
        <sz val="12"/>
        <color theme="1"/>
        <rFont val="Arial"/>
        <family val="3"/>
      </rPr>
      <t>ATEN CL5716N</t>
    </r>
    <phoneticPr fontId="6" type="noConversion"/>
  </si>
  <si>
    <t xml:space="preserve">機架型固定式維運終端機
Dell R260
</t>
    <phoneticPr fontId="6" type="noConversion"/>
  </si>
  <si>
    <r>
      <t>2U Server (</t>
    </r>
    <r>
      <rPr>
        <sz val="12"/>
        <color theme="1"/>
        <rFont val="微軟正黑體"/>
        <family val="2"/>
        <charset val="136"/>
      </rPr>
      <t>網管主機</t>
    </r>
    <r>
      <rPr>
        <sz val="12"/>
        <color theme="1"/>
        <rFont val="Arial"/>
        <family val="2"/>
      </rPr>
      <t>)
DELL R760</t>
    </r>
    <phoneticPr fontId="6" type="noConversion"/>
  </si>
  <si>
    <r>
      <rPr>
        <sz val="12"/>
        <color theme="1"/>
        <rFont val="微軟正黑體"/>
        <family val="2"/>
        <charset val="136"/>
      </rPr>
      <t>固定式維運終端機</t>
    </r>
    <r>
      <rPr>
        <sz val="12"/>
        <color theme="1"/>
        <rFont val="Arial"/>
        <family val="2"/>
      </rPr>
      <t>DELL</t>
    </r>
    <r>
      <rPr>
        <sz val="12"/>
        <color theme="1"/>
        <rFont val="Arial"/>
        <family val="2"/>
        <charset val="136"/>
      </rPr>
      <t xml:space="preserve"> OptiPlex Tower 7020 XCTO</t>
    </r>
    <phoneticPr fontId="6" type="noConversion"/>
  </si>
  <si>
    <r>
      <t xml:space="preserve">SonicWall </t>
    </r>
    <r>
      <rPr>
        <sz val="12"/>
        <color theme="1"/>
        <rFont val="微軟正黑體"/>
        <family val="2"/>
        <charset val="136"/>
      </rPr>
      <t xml:space="preserve">防火牆建置及維護
(TZ-570)
</t>
    </r>
    <phoneticPr fontId="6" type="noConversion"/>
  </si>
  <si>
    <r>
      <rPr>
        <sz val="12"/>
        <color theme="1"/>
        <rFont val="Microsoft JhengHei"/>
        <family val="2"/>
      </rPr>
      <t xml:space="preserve">固定式維運終端機顯示器
</t>
    </r>
    <r>
      <rPr>
        <sz val="12"/>
        <color theme="1"/>
        <rFont val="Arial"/>
        <family val="2"/>
      </rPr>
      <t>Samsung S24D362GAC</t>
    </r>
    <phoneticPr fontId="6" type="noConversion"/>
  </si>
  <si>
    <r>
      <rPr>
        <sz val="12"/>
        <color theme="1"/>
        <rFont val="細明體"/>
        <family val="2"/>
        <charset val="136"/>
      </rPr>
      <t>•螢幕尺寸</t>
    </r>
    <r>
      <rPr>
        <sz val="12"/>
        <color theme="1"/>
        <rFont val="Arial"/>
        <family val="2"/>
      </rPr>
      <t>:24</t>
    </r>
    <r>
      <rPr>
        <sz val="12"/>
        <color theme="1"/>
        <rFont val="細明體"/>
        <family val="2"/>
        <charset val="136"/>
      </rPr>
      <t>吋</t>
    </r>
    <r>
      <rPr>
        <sz val="12"/>
        <color theme="1"/>
        <rFont val="Arial"/>
        <family val="2"/>
        <charset val="136"/>
      </rPr>
      <t xml:space="preserve">
•</t>
    </r>
    <r>
      <rPr>
        <sz val="12"/>
        <color theme="1"/>
        <rFont val="細明體"/>
        <family val="2"/>
        <charset val="136"/>
      </rPr>
      <t xml:space="preserve">螢幕比例:16:9
</t>
    </r>
    <r>
      <rPr>
        <sz val="12"/>
        <color theme="1"/>
        <rFont val="Arial"/>
        <family val="2"/>
        <charset val="136"/>
      </rPr>
      <t>•</t>
    </r>
    <r>
      <rPr>
        <sz val="12"/>
        <color theme="1"/>
        <rFont val="細明體"/>
        <family val="2"/>
        <charset val="136"/>
      </rPr>
      <t>解析度:FHD (1920 x 1080)
•亮度 (典型值):250 cd/㎡</t>
    </r>
    <phoneticPr fontId="6" type="noConversion"/>
  </si>
  <si>
    <r>
      <t>•Intel CPU,
•8G RAM(</t>
    </r>
    <r>
      <rPr>
        <sz val="12"/>
        <color theme="1"/>
        <rFont val="新細明體"/>
        <family val="2"/>
        <charset val="136"/>
      </rPr>
      <t>含</t>
    </r>
    <r>
      <rPr>
        <sz val="12"/>
        <color theme="1"/>
        <rFont val="Arial"/>
        <family val="2"/>
        <charset val="136"/>
      </rPr>
      <t>)</t>
    </r>
    <r>
      <rPr>
        <sz val="12"/>
        <color theme="1"/>
        <rFont val="新細明體"/>
        <family val="2"/>
        <charset val="136"/>
      </rPr>
      <t xml:space="preserve">以上
</t>
    </r>
    <r>
      <rPr>
        <sz val="12"/>
        <color theme="1"/>
        <rFont val="Arial"/>
        <family val="2"/>
        <charset val="136"/>
      </rPr>
      <t xml:space="preserve">•512G </t>
    </r>
    <r>
      <rPr>
        <sz val="12"/>
        <color theme="1"/>
        <rFont val="新細明體"/>
        <family val="2"/>
        <charset val="136"/>
      </rPr>
      <t>硬碟空間</t>
    </r>
    <r>
      <rPr>
        <sz val="12"/>
        <color theme="1"/>
        <rFont val="Arial"/>
        <family val="2"/>
        <charset val="136"/>
      </rPr>
      <t>(</t>
    </r>
    <r>
      <rPr>
        <sz val="12"/>
        <color theme="1"/>
        <rFont val="新細明體"/>
        <family val="2"/>
        <charset val="136"/>
      </rPr>
      <t>含</t>
    </r>
    <r>
      <rPr>
        <sz val="12"/>
        <color theme="1"/>
        <rFont val="Arial"/>
        <family val="2"/>
        <charset val="136"/>
      </rPr>
      <t>)</t>
    </r>
    <r>
      <rPr>
        <sz val="12"/>
        <color theme="1"/>
        <rFont val="新細明體"/>
        <family val="2"/>
        <charset val="136"/>
      </rPr>
      <t>以上，</t>
    </r>
    <r>
      <rPr>
        <sz val="12"/>
        <color theme="1"/>
        <rFont val="Arial"/>
        <family val="2"/>
        <charset val="136"/>
      </rPr>
      <t xml:space="preserve">
•W11 </t>
    </r>
    <r>
      <rPr>
        <sz val="12"/>
        <color theme="1"/>
        <rFont val="新細明體"/>
        <family val="2"/>
        <charset val="136"/>
      </rPr>
      <t>隨機版作業系統</t>
    </r>
    <r>
      <rPr>
        <sz val="12"/>
        <color theme="1"/>
        <rFont val="Arial"/>
        <family val="2"/>
        <charset val="136"/>
      </rPr>
      <t xml:space="preserve">
•</t>
    </r>
    <r>
      <rPr>
        <sz val="12"/>
        <color theme="1"/>
        <rFont val="新細明體"/>
        <family val="2"/>
        <charset val="136"/>
      </rPr>
      <t>滑鼠、鍵盤</t>
    </r>
    <phoneticPr fontId="6" type="noConversion"/>
  </si>
  <si>
    <t>20250623-01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</si>
</sst>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 &quot;* #,##0&quot; &quot;;&quot;-&quot;* #,##0&quot; &quot;;&quot; &quot;* &quot;-&quot;??&quot; &quot;"/>
    <numFmt numFmtId="177" formatCode="#,##0&quot; &quot;;\(#,##0\)"/>
  </numFmts>
  <fonts count="33">
    <font>
      <sz val="10"/>
      <color rgb="FF000000"/>
      <name val="Arial"/>
      <scheme val="minor"/>
    </font>
    <font>
      <sz val="12"/>
      <color theme="1"/>
      <name val="Helvetica Neue"/>
    </font>
    <font>
      <sz val="14"/>
      <color theme="1"/>
      <name val="Times New Roman"/>
      <family val="1"/>
    </font>
    <font>
      <b/>
      <sz val="26"/>
      <color theme="1"/>
      <name val="Microsoft JhengHei"/>
      <family val="2"/>
      <charset val="136"/>
    </font>
    <font>
      <sz val="12"/>
      <color theme="1"/>
      <name val="PMingLiu"/>
    </font>
    <font>
      <b/>
      <sz val="14"/>
      <color theme="1"/>
      <name val="Arial"/>
      <family val="2"/>
    </font>
    <font>
      <sz val="9"/>
      <name val="Arial"/>
      <family val="3"/>
      <charset val="136"/>
      <scheme val="minor"/>
    </font>
    <font>
      <sz val="14"/>
      <color theme="1"/>
      <name val="Helvetica Neue"/>
    </font>
    <font>
      <sz val="14"/>
      <color theme="1"/>
      <name val="Microsoft JhengHei"/>
      <family val="2"/>
      <charset val="136"/>
    </font>
    <font>
      <b/>
      <sz val="14"/>
      <color theme="1"/>
      <name val="Microsoft JhengHei"/>
      <family val="2"/>
      <charset val="136"/>
    </font>
    <font>
      <sz val="14"/>
      <color rgb="FF000000"/>
      <name val="Arial"/>
      <family val="2"/>
      <scheme val="minor"/>
    </font>
    <font>
      <sz val="14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微軟正黑體"/>
      <family val="2"/>
      <charset val="136"/>
    </font>
    <font>
      <b/>
      <sz val="14"/>
      <color theme="1"/>
      <name val="Arial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Arial"/>
      <family val="2"/>
      <charset val="136"/>
    </font>
    <font>
      <b/>
      <sz val="14"/>
      <color theme="1"/>
      <name val="Microsoft JhengHei"/>
      <family val="2"/>
    </font>
    <font>
      <sz val="12"/>
      <color theme="1"/>
      <name val="Microsoft JhengHei"/>
      <family val="2"/>
    </font>
    <font>
      <sz val="12"/>
      <color theme="1"/>
      <name val="細明體"/>
      <family val="2"/>
      <charset val="136"/>
    </font>
    <font>
      <sz val="12"/>
      <color rgb="FFFF0000"/>
      <name val="Arial"/>
      <family val="2"/>
    </font>
    <font>
      <sz val="12"/>
      <color rgb="FFFF0000"/>
      <name val="Microsoft JhengHei"/>
      <family val="2"/>
      <charset val="136"/>
    </font>
    <font>
      <b/>
      <sz val="14"/>
      <color rgb="FFFF0000"/>
      <name val="Arial"/>
      <family val="3"/>
    </font>
    <font>
      <sz val="12"/>
      <color theme="1"/>
      <name val="Microsoft JhengHei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FF0000"/>
      <name val="Microsoft JhengHei UI"/>
      <family val="2"/>
      <charset val="136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sz val="12"/>
      <color theme="1"/>
      <name val="Arial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49" fontId="2" fillId="0" borderId="0" xfId="0" applyNumberFormat="1" applyFont="1"/>
    <xf numFmtId="49" fontId="3" fillId="0" borderId="0" xfId="0" applyNumberFormat="1" applyFont="1"/>
    <xf numFmtId="49" fontId="1" fillId="0" borderId="0" xfId="0" applyNumberFormat="1" applyFont="1"/>
    <xf numFmtId="176" fontId="1" fillId="0" borderId="0" xfId="0" applyNumberFormat="1" applyFont="1"/>
    <xf numFmtId="176" fontId="1" fillId="0" borderId="4" xfId="0" applyNumberFormat="1" applyFont="1" applyBorder="1"/>
    <xf numFmtId="176" fontId="1" fillId="2" borderId="5" xfId="0" applyNumberFormat="1" applyFont="1" applyFill="1" applyBorder="1"/>
    <xf numFmtId="176" fontId="1" fillId="2" borderId="6" xfId="0" applyNumberFormat="1" applyFont="1" applyFill="1" applyBorder="1"/>
    <xf numFmtId="0" fontId="7" fillId="0" borderId="0" xfId="0" applyFont="1"/>
    <xf numFmtId="0" fontId="7" fillId="2" borderId="1" xfId="0" applyFont="1" applyFill="1" applyBorder="1"/>
    <xf numFmtId="49" fontId="8" fillId="0" borderId="0" xfId="0" applyNumberFormat="1" applyFont="1"/>
    <xf numFmtId="14" fontId="7" fillId="0" borderId="0" xfId="0" applyNumberFormat="1" applyFont="1"/>
    <xf numFmtId="49" fontId="9" fillId="0" borderId="0" xfId="0" applyNumberFormat="1" applyFont="1" applyAlignment="1">
      <alignment horizontal="right"/>
    </xf>
    <xf numFmtId="49" fontId="7" fillId="0" borderId="0" xfId="0" applyNumberFormat="1" applyFont="1"/>
    <xf numFmtId="49" fontId="5" fillId="0" borderId="2" xfId="0" applyNumberFormat="1" applyFont="1" applyBorder="1"/>
    <xf numFmtId="0" fontId="7" fillId="0" borderId="3" xfId="0" applyFont="1" applyBorder="1"/>
    <xf numFmtId="49" fontId="5" fillId="0" borderId="0" xfId="0" applyNumberFormat="1" applyFont="1"/>
    <xf numFmtId="49" fontId="9" fillId="2" borderId="1" xfId="0" applyNumberFormat="1" applyFont="1" applyFill="1" applyBorder="1" applyAlignment="1">
      <alignment horizontal="left" wrapText="1"/>
    </xf>
    <xf numFmtId="49" fontId="13" fillId="2" borderId="7" xfId="0" applyNumberFormat="1" applyFont="1" applyFill="1" applyBorder="1" applyAlignment="1">
      <alignment horizontal="right"/>
    </xf>
    <xf numFmtId="49" fontId="13" fillId="0" borderId="0" xfId="0" applyNumberFormat="1" applyFont="1" applyAlignment="1">
      <alignment horizontal="right"/>
    </xf>
    <xf numFmtId="49" fontId="13" fillId="2" borderId="7" xfId="0" applyNumberFormat="1" applyFont="1" applyFill="1" applyBorder="1" applyAlignment="1">
      <alignment horizontal="center" vertical="center" wrapText="1"/>
    </xf>
    <xf numFmtId="177" fontId="13" fillId="0" borderId="7" xfId="0" applyNumberFormat="1" applyFont="1" applyBorder="1" applyAlignment="1">
      <alignment horizontal="center" vertical="center"/>
    </xf>
    <xf numFmtId="177" fontId="13" fillId="0" borderId="7" xfId="0" applyNumberFormat="1" applyFont="1" applyBorder="1" applyAlignment="1">
      <alignment horizontal="center" vertical="center" wrapText="1"/>
    </xf>
    <xf numFmtId="177" fontId="13" fillId="2" borderId="7" xfId="0" applyNumberFormat="1" applyFont="1" applyFill="1" applyBorder="1" applyAlignment="1">
      <alignment horizontal="center" vertical="center" wrapText="1"/>
    </xf>
    <xf numFmtId="49" fontId="13" fillId="2" borderId="11" xfId="0" applyNumberFormat="1" applyFont="1" applyFill="1" applyBorder="1" applyAlignment="1">
      <alignment horizontal="center" vertical="center" wrapText="1"/>
    </xf>
    <xf numFmtId="177" fontId="13" fillId="0" borderId="1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center" vertical="center"/>
    </xf>
    <xf numFmtId="49" fontId="5" fillId="3" borderId="16" xfId="0" applyNumberFormat="1" applyFont="1" applyFill="1" applyBorder="1" applyAlignment="1">
      <alignment horizontal="center" vertical="center"/>
    </xf>
    <xf numFmtId="49" fontId="5" fillId="3" borderId="13" xfId="0" applyNumberFormat="1" applyFont="1" applyFill="1" applyBorder="1" applyAlignment="1">
      <alignment horizontal="center" vertical="center"/>
    </xf>
    <xf numFmtId="49" fontId="5" fillId="3" borderId="13" xfId="0" applyNumberFormat="1" applyFont="1" applyFill="1" applyBorder="1" applyAlignment="1">
      <alignment horizontal="center" vertical="center" wrapText="1"/>
    </xf>
    <xf numFmtId="49" fontId="18" fillId="3" borderId="13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Border="1"/>
    <xf numFmtId="0" fontId="1" fillId="2" borderId="7" xfId="0" applyFont="1" applyFill="1" applyBorder="1"/>
    <xf numFmtId="177" fontId="13" fillId="2" borderId="7" xfId="0" applyNumberFormat="1" applyFont="1" applyFill="1" applyBorder="1" applyAlignment="1">
      <alignment horizontal="center"/>
    </xf>
    <xf numFmtId="177" fontId="1" fillId="2" borderId="7" xfId="0" applyNumberFormat="1" applyFont="1" applyFill="1" applyBorder="1" applyAlignment="1">
      <alignment horizontal="center"/>
    </xf>
    <xf numFmtId="49" fontId="5" fillId="3" borderId="19" xfId="0" applyNumberFormat="1" applyFont="1" applyFill="1" applyBorder="1" applyAlignment="1">
      <alignment horizontal="center" vertical="center"/>
    </xf>
    <xf numFmtId="49" fontId="22" fillId="2" borderId="7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49" fontId="19" fillId="2" borderId="7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/>
    </xf>
    <xf numFmtId="0" fontId="15" fillId="0" borderId="0" xfId="0" applyFont="1"/>
    <xf numFmtId="0" fontId="14" fillId="0" borderId="1" xfId="0" applyFont="1" applyBorder="1"/>
    <xf numFmtId="0" fontId="12" fillId="0" borderId="25" xfId="0" applyFont="1" applyBorder="1" applyAlignment="1">
      <alignment horizontal="center" vertical="center"/>
    </xf>
    <xf numFmtId="49" fontId="13" fillId="2" borderId="25" xfId="0" applyNumberFormat="1" applyFont="1" applyFill="1" applyBorder="1" applyAlignment="1">
      <alignment horizontal="center" vertical="center" wrapText="1"/>
    </xf>
    <xf numFmtId="49" fontId="27" fillId="2" borderId="7" xfId="0" applyNumberFormat="1" applyFont="1" applyFill="1" applyBorder="1" applyAlignment="1">
      <alignment horizontal="center" vertical="center" wrapText="1"/>
    </xf>
    <xf numFmtId="49" fontId="20" fillId="2" borderId="7" xfId="0" applyNumberFormat="1" applyFont="1" applyFill="1" applyBorder="1" applyAlignment="1">
      <alignment horizontal="center" vertical="center" wrapText="1"/>
    </xf>
    <xf numFmtId="49" fontId="20" fillId="2" borderId="25" xfId="0" applyNumberFormat="1" applyFont="1" applyFill="1" applyBorder="1" applyAlignment="1">
      <alignment horizontal="center" vertical="center" wrapText="1"/>
    </xf>
    <xf numFmtId="49" fontId="13" fillId="2" borderId="14" xfId="0" applyNumberFormat="1" applyFont="1" applyFill="1" applyBorder="1" applyAlignment="1">
      <alignment horizontal="left" vertical="center" wrapText="1"/>
    </xf>
    <xf numFmtId="49" fontId="13" fillId="2" borderId="22" xfId="0" applyNumberFormat="1" applyFont="1" applyFill="1" applyBorder="1" applyAlignment="1">
      <alignment horizontal="left" vertical="center" wrapText="1"/>
    </xf>
    <xf numFmtId="49" fontId="13" fillId="2" borderId="15" xfId="0" applyNumberFormat="1" applyFont="1" applyFill="1" applyBorder="1" applyAlignment="1">
      <alignment horizontal="left" vertical="center" wrapText="1"/>
    </xf>
    <xf numFmtId="49" fontId="20" fillId="2" borderId="20" xfId="0" applyNumberFormat="1" applyFont="1" applyFill="1" applyBorder="1" applyAlignment="1">
      <alignment wrapText="1"/>
    </xf>
    <xf numFmtId="49" fontId="13" fillId="2" borderId="23" xfId="0" applyNumberFormat="1" applyFont="1" applyFill="1" applyBorder="1" applyAlignment="1">
      <alignment wrapText="1"/>
    </xf>
    <xf numFmtId="0" fontId="0" fillId="0" borderId="21" xfId="0" applyBorder="1" applyAlignment="1">
      <alignment wrapText="1"/>
    </xf>
    <xf numFmtId="49" fontId="13" fillId="2" borderId="8" xfId="0" applyNumberFormat="1" applyFont="1" applyFill="1" applyBorder="1" applyAlignment="1">
      <alignment wrapText="1"/>
    </xf>
    <xf numFmtId="0" fontId="14" fillId="0" borderId="24" xfId="0" applyFont="1" applyBorder="1"/>
    <xf numFmtId="0" fontId="0" fillId="0" borderId="9" xfId="0" applyBorder="1"/>
    <xf numFmtId="49" fontId="1" fillId="2" borderId="8" xfId="0" applyNumberFormat="1" applyFont="1" applyFill="1" applyBorder="1"/>
    <xf numFmtId="49" fontId="20" fillId="2" borderId="30" xfId="0" applyNumberFormat="1" applyFont="1" applyFill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49" fontId="4" fillId="0" borderId="0" xfId="0" applyNumberFormat="1" applyFont="1"/>
    <xf numFmtId="0" fontId="15" fillId="0" borderId="0" xfId="0" applyFont="1"/>
    <xf numFmtId="177" fontId="13" fillId="2" borderId="20" xfId="0" applyNumberFormat="1" applyFont="1" applyFill="1" applyBorder="1" applyAlignment="1">
      <alignment horizontal="right"/>
    </xf>
    <xf numFmtId="177" fontId="13" fillId="2" borderId="21" xfId="0" applyNumberFormat="1" applyFont="1" applyFill="1" applyBorder="1" applyAlignment="1">
      <alignment horizontal="right"/>
    </xf>
    <xf numFmtId="177" fontId="1" fillId="2" borderId="8" xfId="0" applyNumberFormat="1" applyFont="1" applyFill="1" applyBorder="1"/>
    <xf numFmtId="0" fontId="14" fillId="0" borderId="9" xfId="0" applyFont="1" applyBorder="1"/>
    <xf numFmtId="49" fontId="13" fillId="2" borderId="8" xfId="0" applyNumberFormat="1" applyFont="1" applyFill="1" applyBorder="1" applyAlignment="1">
      <alignment horizontal="right"/>
    </xf>
    <xf numFmtId="49" fontId="13" fillId="0" borderId="0" xfId="0" applyNumberFormat="1" applyFont="1"/>
    <xf numFmtId="0" fontId="1" fillId="0" borderId="0" xfId="0" applyFont="1"/>
    <xf numFmtId="49" fontId="16" fillId="0" borderId="10" xfId="0" applyNumberFormat="1" applyFont="1" applyBorder="1"/>
    <xf numFmtId="0" fontId="14" fillId="0" borderId="10" xfId="0" applyFont="1" applyBorder="1"/>
    <xf numFmtId="49" fontId="20" fillId="2" borderId="20" xfId="0" applyNumberFormat="1" applyFont="1" applyFill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49" fontId="20" fillId="2" borderId="8" xfId="0" applyNumberFormat="1" applyFont="1" applyFill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49" fontId="9" fillId="0" borderId="0" xfId="0" applyNumberFormat="1" applyFont="1"/>
    <xf numFmtId="0" fontId="10" fillId="0" borderId="0" xfId="0" applyFont="1"/>
    <xf numFmtId="49" fontId="5" fillId="3" borderId="14" xfId="0" applyNumberFormat="1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5" fillId="3" borderId="17" xfId="0" applyNumberFormat="1" applyFont="1" applyFill="1" applyBorder="1" applyAlignment="1">
      <alignment horizontal="center" vertical="center"/>
    </xf>
    <xf numFmtId="49" fontId="5" fillId="3" borderId="18" xfId="0" applyNumberFormat="1" applyFont="1" applyFill="1" applyBorder="1" applyAlignment="1">
      <alignment horizontal="center" vertical="center"/>
    </xf>
    <xf numFmtId="49" fontId="20" fillId="2" borderId="8" xfId="0" applyNumberFormat="1" applyFont="1" applyFill="1" applyBorder="1" applyAlignment="1">
      <alignment vertical="center" wrapText="1"/>
    </xf>
    <xf numFmtId="0" fontId="0" fillId="0" borderId="24" xfId="0" applyBorder="1" applyAlignment="1">
      <alignment vertical="center"/>
    </xf>
    <xf numFmtId="0" fontId="0" fillId="0" borderId="9" xfId="0" applyBorder="1" applyAlignment="1">
      <alignment vertical="center"/>
    </xf>
    <xf numFmtId="49" fontId="13" fillId="2" borderId="26" xfId="0" applyNumberFormat="1" applyFont="1" applyFill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2" fillId="0" borderId="2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13" fillId="2" borderId="2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9" fontId="21" fillId="3" borderId="14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4" fillId="0" borderId="24" xfId="0" applyFont="1" applyBorder="1" applyAlignment="1">
      <alignment vertical="center"/>
    </xf>
    <xf numFmtId="49" fontId="20" fillId="2" borderId="14" xfId="0" applyNumberFormat="1" applyFont="1" applyFill="1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49" fontId="26" fillId="3" borderId="17" xfId="0" applyNumberFormat="1" applyFont="1" applyFill="1" applyBorder="1" applyAlignment="1">
      <alignment horizontal="center" vertical="center" wrapText="1"/>
    </xf>
    <xf numFmtId="49" fontId="5" fillId="3" borderId="22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781050</xdr:colOff>
      <xdr:row>3</xdr:row>
      <xdr:rowOff>57150</xdr:rowOff>
    </xdr:from>
    <xdr:ext cx="3578224" cy="901700"/>
    <xdr:grpSp>
      <xdr:nvGrpSpPr>
        <xdr:cNvPr id="2" name="Shape 2" title="繪圖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231992" y="636933"/>
          <a:ext cx="3578224" cy="901700"/>
          <a:chOff x="1373650" y="872600"/>
          <a:chExt cx="3374400" cy="11454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373650" y="872600"/>
            <a:ext cx="3374400" cy="1145400"/>
          </a:xfrm>
          <a:prstGeom prst="rect">
            <a:avLst/>
          </a:prstGeom>
          <a:solidFill>
            <a:srgbClr val="FF990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1373650" y="1129700"/>
            <a:ext cx="3374400" cy="631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900"/>
              <a:t>Quotation</a:t>
            </a:r>
            <a:endParaRPr sz="2900"/>
          </a:p>
        </xdr:txBody>
      </xdr:sp>
    </xdr:grpSp>
    <xdr:clientData fLocksWithSheet="0"/>
  </xdr:oneCellAnchor>
  <xdr:twoCellAnchor editAs="oneCell">
    <xdr:from>
      <xdr:col>6</xdr:col>
      <xdr:colOff>427858</xdr:colOff>
      <xdr:row>37</xdr:row>
      <xdr:rowOff>139999</xdr:rowOff>
    </xdr:from>
    <xdr:to>
      <xdr:col>7</xdr:col>
      <xdr:colOff>881660</xdr:colOff>
      <xdr:row>43</xdr:row>
      <xdr:rowOff>11503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79213452-9C38-1FDC-7DBE-2B32FD0DC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2351" y="23220869"/>
          <a:ext cx="1364889" cy="10310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4"/>
  <sheetViews>
    <sheetView tabSelected="1" view="pageBreakPreview" topLeftCell="A10" zoomScale="69" zoomScaleNormal="80" zoomScaleSheetLayoutView="69" workbookViewId="0">
      <selection activeCell="G7" sqref="G7:H7"/>
    </sheetView>
  </sheetViews>
  <sheetFormatPr defaultColWidth="12.54296875" defaultRowHeight="15.75" customHeight="1"/>
  <cols>
    <col min="1" max="1" width="6.453125" customWidth="1"/>
    <col min="2" max="2" width="19.08984375" customWidth="1"/>
    <col min="3" max="3" width="23.81640625" customWidth="1"/>
    <col min="4" max="4" width="27.7265625" customWidth="1"/>
    <col min="5" max="5" width="19.54296875" customWidth="1"/>
    <col min="6" max="6" width="16" customWidth="1"/>
    <col min="7" max="7" width="13" customWidth="1"/>
    <col min="8" max="8" width="14.7265625" customWidth="1"/>
  </cols>
  <sheetData>
    <row r="1" spans="1:8" ht="15.5">
      <c r="A1" s="1"/>
      <c r="B1" s="1"/>
      <c r="C1" s="1"/>
      <c r="D1" s="2"/>
      <c r="E1" s="2"/>
      <c r="F1" s="2"/>
      <c r="G1" s="1"/>
      <c r="H1" s="1"/>
    </row>
    <row r="2" spans="1:8" ht="15.5">
      <c r="A2" s="1"/>
      <c r="B2" s="1"/>
      <c r="C2" s="1"/>
      <c r="D2" s="2"/>
      <c r="E2" s="2"/>
      <c r="F2" s="2"/>
      <c r="G2" s="1"/>
      <c r="H2" s="1"/>
    </row>
    <row r="3" spans="1:8" ht="15.5">
      <c r="A3" s="1"/>
      <c r="B3" s="1"/>
      <c r="C3" s="1"/>
      <c r="D3" s="2"/>
      <c r="E3" s="2"/>
      <c r="F3" s="2"/>
      <c r="G3" s="1"/>
      <c r="H3" s="1"/>
    </row>
    <row r="4" spans="1:8" ht="33.65" customHeight="1">
      <c r="A4" s="3" t="s">
        <v>0</v>
      </c>
      <c r="B4" s="1"/>
      <c r="C4" s="1"/>
      <c r="D4" s="2"/>
      <c r="E4" s="2"/>
      <c r="F4" s="4" t="s">
        <v>1</v>
      </c>
      <c r="G4" s="1"/>
      <c r="H4" s="1"/>
    </row>
    <row r="5" spans="1:8" ht="23.15" customHeight="1">
      <c r="A5" s="10"/>
      <c r="B5" s="10"/>
      <c r="C5" s="10"/>
      <c r="D5" s="11"/>
      <c r="E5" s="11"/>
      <c r="F5" s="12" t="s">
        <v>2</v>
      </c>
      <c r="G5" s="10"/>
      <c r="H5" s="10"/>
    </row>
    <row r="6" spans="1:8" ht="30" customHeight="1">
      <c r="A6" s="10"/>
      <c r="B6" s="10"/>
      <c r="C6" s="10"/>
      <c r="D6" s="11"/>
      <c r="E6" s="11"/>
      <c r="F6" s="12" t="s">
        <v>3</v>
      </c>
      <c r="G6" s="10"/>
      <c r="H6" s="10"/>
    </row>
    <row r="7" spans="1:8" ht="27" customHeight="1">
      <c r="A7" s="13"/>
      <c r="B7" s="14" t="s">
        <v>4</v>
      </c>
      <c r="C7" s="10"/>
      <c r="D7" s="11"/>
      <c r="E7" s="11"/>
      <c r="F7" s="19" t="s">
        <v>31</v>
      </c>
      <c r="G7" s="81" t="s">
        <v>68</v>
      </c>
      <c r="H7" s="82"/>
    </row>
    <row r="8" spans="1:8" ht="24" customHeight="1">
      <c r="A8" s="13"/>
      <c r="B8" s="14" t="s">
        <v>5</v>
      </c>
      <c r="C8" s="11"/>
      <c r="D8" s="11"/>
      <c r="E8" s="11"/>
      <c r="F8" s="19" t="s">
        <v>6</v>
      </c>
      <c r="G8" s="81" t="s">
        <v>7</v>
      </c>
      <c r="H8" s="82"/>
    </row>
    <row r="9" spans="1:8" ht="23.15" customHeight="1">
      <c r="A9" s="10"/>
      <c r="B9" s="14" t="s">
        <v>8</v>
      </c>
      <c r="C9" s="15"/>
      <c r="D9" s="11"/>
      <c r="E9" s="11"/>
      <c r="F9" s="19" t="s">
        <v>9</v>
      </c>
      <c r="G9" s="81" t="s">
        <v>32</v>
      </c>
      <c r="H9" s="82"/>
    </row>
    <row r="10" spans="1:8" ht="22" customHeight="1">
      <c r="A10" s="10"/>
      <c r="B10" s="10"/>
      <c r="C10" s="10"/>
      <c r="D10" s="11"/>
      <c r="E10" s="11"/>
      <c r="F10" s="19" t="s">
        <v>10</v>
      </c>
      <c r="G10" s="81" t="s">
        <v>11</v>
      </c>
      <c r="H10" s="82"/>
    </row>
    <row r="11" spans="1:8" ht="17.5">
      <c r="A11" s="10"/>
      <c r="B11" s="10"/>
      <c r="C11" s="10"/>
      <c r="D11" s="11"/>
      <c r="E11" s="11"/>
      <c r="F11" s="11"/>
      <c r="G11" s="10"/>
      <c r="H11" s="10"/>
    </row>
    <row r="12" spans="1:8" ht="23.5" customHeight="1">
      <c r="A12" s="10"/>
      <c r="B12" s="14" t="s">
        <v>12</v>
      </c>
      <c r="C12" s="12" t="s">
        <v>13</v>
      </c>
      <c r="D12" s="11"/>
      <c r="E12" s="11"/>
      <c r="F12" s="11"/>
      <c r="G12" s="10"/>
      <c r="H12" s="10"/>
    </row>
    <row r="13" spans="1:8" ht="6.65" customHeight="1">
      <c r="A13" s="10"/>
      <c r="B13" s="10"/>
      <c r="C13" s="10"/>
      <c r="D13" s="11"/>
      <c r="E13" s="11"/>
      <c r="F13" s="11"/>
      <c r="G13" s="10"/>
      <c r="H13" s="15"/>
    </row>
    <row r="14" spans="1:8" ht="28" customHeight="1">
      <c r="A14" s="16" t="s">
        <v>14</v>
      </c>
      <c r="B14" s="17"/>
      <c r="C14" s="10"/>
      <c r="D14" s="11"/>
      <c r="E14" s="11"/>
      <c r="F14" s="11"/>
      <c r="G14" s="18" t="s">
        <v>15</v>
      </c>
      <c r="H14" s="10"/>
    </row>
    <row r="15" spans="1:8" ht="16" thickBot="1">
      <c r="A15" s="1"/>
      <c r="B15" s="6"/>
      <c r="C15" s="7"/>
      <c r="D15" s="8"/>
      <c r="E15" s="9"/>
      <c r="F15" s="9"/>
      <c r="G15" s="6"/>
      <c r="H15" s="6"/>
    </row>
    <row r="16" spans="1:8" ht="48.5" customHeight="1" thickBot="1">
      <c r="A16" s="30" t="s">
        <v>16</v>
      </c>
      <c r="B16" s="32" t="s">
        <v>17</v>
      </c>
      <c r="C16" s="83" t="s">
        <v>18</v>
      </c>
      <c r="D16" s="84"/>
      <c r="E16" s="85"/>
      <c r="F16" s="33" t="s">
        <v>19</v>
      </c>
      <c r="G16" s="34" t="s">
        <v>33</v>
      </c>
      <c r="H16" s="31" t="s">
        <v>20</v>
      </c>
    </row>
    <row r="17" spans="1:9" ht="44.25" customHeight="1" thickBot="1">
      <c r="A17" s="86" t="s">
        <v>34</v>
      </c>
      <c r="B17" s="85"/>
      <c r="C17" s="99" t="s">
        <v>36</v>
      </c>
      <c r="D17" s="100"/>
      <c r="E17" s="101"/>
      <c r="F17" s="33"/>
      <c r="G17" s="34"/>
      <c r="H17" s="32"/>
    </row>
    <row r="18" spans="1:9" ht="146" customHeight="1">
      <c r="A18" s="29">
        <v>1</v>
      </c>
      <c r="B18" s="22" t="s">
        <v>49</v>
      </c>
      <c r="C18" s="75" t="s">
        <v>37</v>
      </c>
      <c r="D18" s="76"/>
      <c r="E18" s="77"/>
      <c r="F18" s="23">
        <v>1577500</v>
      </c>
      <c r="G18" s="23">
        <v>1</v>
      </c>
      <c r="H18" s="23">
        <f>F18*G18</f>
        <v>1577500</v>
      </c>
    </row>
    <row r="19" spans="1:9" ht="112" customHeight="1">
      <c r="A19" s="29">
        <v>2</v>
      </c>
      <c r="B19" s="22" t="s">
        <v>42</v>
      </c>
      <c r="C19" s="78" t="s">
        <v>40</v>
      </c>
      <c r="D19" s="79"/>
      <c r="E19" s="80"/>
      <c r="F19" s="23">
        <v>26250</v>
      </c>
      <c r="G19" s="23">
        <v>4</v>
      </c>
      <c r="H19" s="23">
        <f t="array" ref="H19">F19*G19</f>
        <v>105000</v>
      </c>
    </row>
    <row r="20" spans="1:9" ht="106.5" customHeight="1">
      <c r="A20" s="29">
        <v>3</v>
      </c>
      <c r="B20" s="42" t="s">
        <v>61</v>
      </c>
      <c r="C20" s="78" t="s">
        <v>38</v>
      </c>
      <c r="D20" s="79"/>
      <c r="E20" s="80"/>
      <c r="F20" s="23">
        <v>73500</v>
      </c>
      <c r="G20" s="24">
        <v>2</v>
      </c>
      <c r="H20" s="23">
        <f t="array" ref="H20">F20*G20</f>
        <v>147000</v>
      </c>
    </row>
    <row r="21" spans="1:9" ht="130" customHeight="1">
      <c r="A21" s="29">
        <v>4</v>
      </c>
      <c r="B21" s="22" t="s">
        <v>62</v>
      </c>
      <c r="C21" s="88" t="s">
        <v>41</v>
      </c>
      <c r="D21" s="102"/>
      <c r="E21" s="90"/>
      <c r="F21" s="23">
        <v>520000</v>
      </c>
      <c r="G21" s="23">
        <v>1</v>
      </c>
      <c r="H21" s="23">
        <f t="array" ref="H21">F21*G21</f>
        <v>520000</v>
      </c>
    </row>
    <row r="22" spans="1:9" ht="100" customHeight="1">
      <c r="A22" s="46">
        <v>5</v>
      </c>
      <c r="B22" s="49" t="s">
        <v>63</v>
      </c>
      <c r="C22" s="88" t="s">
        <v>67</v>
      </c>
      <c r="D22" s="89"/>
      <c r="E22" s="90"/>
      <c r="F22" s="23">
        <v>37000</v>
      </c>
      <c r="G22" s="23">
        <v>5</v>
      </c>
      <c r="H22" s="23">
        <f>F22*G22</f>
        <v>185000</v>
      </c>
    </row>
    <row r="23" spans="1:9" ht="100" customHeight="1">
      <c r="A23" s="46">
        <v>6</v>
      </c>
      <c r="B23" s="50" t="s">
        <v>65</v>
      </c>
      <c r="C23" s="88" t="s">
        <v>66</v>
      </c>
      <c r="D23" s="89"/>
      <c r="E23" s="90"/>
      <c r="F23" s="23">
        <v>3000</v>
      </c>
      <c r="G23" s="23">
        <v>5</v>
      </c>
      <c r="H23" s="23">
        <f>F23*G23</f>
        <v>15000</v>
      </c>
    </row>
    <row r="24" spans="1:9" ht="189.5" customHeight="1">
      <c r="A24" s="46">
        <v>7</v>
      </c>
      <c r="B24" s="47" t="s">
        <v>60</v>
      </c>
      <c r="C24" s="88" t="s">
        <v>55</v>
      </c>
      <c r="D24" s="89"/>
      <c r="E24" s="90"/>
      <c r="F24" s="23">
        <v>70000</v>
      </c>
      <c r="G24" s="23">
        <v>1</v>
      </c>
      <c r="H24" s="23">
        <f>F24*G24</f>
        <v>70000</v>
      </c>
    </row>
    <row r="25" spans="1:9" ht="107" customHeight="1">
      <c r="A25" s="95">
        <v>8</v>
      </c>
      <c r="B25" s="97" t="s">
        <v>64</v>
      </c>
      <c r="C25" s="91" t="s">
        <v>53</v>
      </c>
      <c r="D25" s="92"/>
      <c r="E25" s="43" t="s">
        <v>50</v>
      </c>
      <c r="F25" s="23">
        <v>305000</v>
      </c>
      <c r="G25" s="25">
        <v>5</v>
      </c>
      <c r="H25" s="23">
        <f t="array" ref="H25">F25*G25</f>
        <v>1525000</v>
      </c>
    </row>
    <row r="26" spans="1:9" ht="107" customHeight="1">
      <c r="A26" s="96"/>
      <c r="B26" s="98"/>
      <c r="C26" s="93"/>
      <c r="D26" s="94"/>
      <c r="E26" s="43" t="s">
        <v>51</v>
      </c>
      <c r="F26" s="23">
        <v>525000</v>
      </c>
      <c r="G26" s="25">
        <v>1</v>
      </c>
      <c r="H26" s="23">
        <f t="array" ref="H26">F26*G26</f>
        <v>525000</v>
      </c>
    </row>
    <row r="27" spans="1:9" ht="107" customHeight="1" thickBot="1">
      <c r="A27" s="29">
        <v>9</v>
      </c>
      <c r="B27" s="22" t="s">
        <v>43</v>
      </c>
      <c r="C27" s="61" t="s">
        <v>39</v>
      </c>
      <c r="D27" s="62"/>
      <c r="E27" s="63"/>
      <c r="F27" s="23">
        <v>1224000</v>
      </c>
      <c r="G27" s="25">
        <v>1</v>
      </c>
      <c r="H27" s="23">
        <f t="array" ref="H27">F27*G27</f>
        <v>1224000</v>
      </c>
    </row>
    <row r="28" spans="1:9" ht="176.5" customHeight="1" thickBot="1">
      <c r="A28" s="29">
        <v>10</v>
      </c>
      <c r="B28" s="22" t="s">
        <v>56</v>
      </c>
      <c r="C28" s="103" t="s">
        <v>58</v>
      </c>
      <c r="D28" s="104"/>
      <c r="E28" s="105"/>
      <c r="F28" s="23">
        <v>28700</v>
      </c>
      <c r="G28" s="25">
        <v>5</v>
      </c>
      <c r="H28" s="23">
        <f>F28*G28</f>
        <v>143500</v>
      </c>
    </row>
    <row r="29" spans="1:9" ht="163.5" customHeight="1" thickBot="1">
      <c r="A29" s="29">
        <v>11</v>
      </c>
      <c r="B29" s="48" t="s">
        <v>57</v>
      </c>
      <c r="C29" s="103" t="s">
        <v>59</v>
      </c>
      <c r="D29" s="104"/>
      <c r="E29" s="105"/>
      <c r="F29" s="23">
        <v>34200</v>
      </c>
      <c r="G29" s="25">
        <v>7</v>
      </c>
      <c r="H29" s="23">
        <f>F29*G29</f>
        <v>239400</v>
      </c>
    </row>
    <row r="30" spans="1:9" ht="128.5" customHeight="1" thickBot="1">
      <c r="A30" s="86" t="s">
        <v>35</v>
      </c>
      <c r="B30" s="87"/>
      <c r="C30" s="106"/>
      <c r="D30" s="107"/>
      <c r="E30" s="108"/>
      <c r="F30" s="86"/>
      <c r="G30" s="87"/>
      <c r="H30" s="39"/>
    </row>
    <row r="31" spans="1:9" ht="194" customHeight="1">
      <c r="A31" s="28">
        <v>12</v>
      </c>
      <c r="B31" s="26" t="s">
        <v>44</v>
      </c>
      <c r="C31" s="75" t="s">
        <v>48</v>
      </c>
      <c r="D31" s="76"/>
      <c r="E31" s="77"/>
      <c r="F31" s="27">
        <v>1000000</v>
      </c>
      <c r="G31" s="27">
        <v>1</v>
      </c>
      <c r="H31" s="27">
        <f t="array" ref="H31">F31*G31</f>
        <v>1000000</v>
      </c>
    </row>
    <row r="32" spans="1:9" ht="108.5" customHeight="1">
      <c r="A32" s="29">
        <v>13</v>
      </c>
      <c r="B32" s="22" t="s">
        <v>45</v>
      </c>
      <c r="C32" s="78" t="s">
        <v>54</v>
      </c>
      <c r="D32" s="79"/>
      <c r="E32" s="80"/>
      <c r="F32" s="23">
        <v>510000</v>
      </c>
      <c r="G32" s="23">
        <v>1</v>
      </c>
      <c r="H32" s="23">
        <f t="array" ref="H32">F32*G32</f>
        <v>510000</v>
      </c>
      <c r="I32" s="41"/>
    </row>
    <row r="33" spans="1:8" ht="60" customHeight="1" thickBot="1">
      <c r="A33" s="29">
        <v>14</v>
      </c>
      <c r="B33" s="22" t="s">
        <v>46</v>
      </c>
      <c r="C33" s="61" t="s">
        <v>47</v>
      </c>
      <c r="D33" s="62"/>
      <c r="E33" s="63"/>
      <c r="F33" s="23">
        <v>1230000</v>
      </c>
      <c r="G33" s="23">
        <v>1</v>
      </c>
      <c r="H33" s="23">
        <f t="array" ref="H33">F33*G33</f>
        <v>1230000</v>
      </c>
    </row>
    <row r="34" spans="1:8" ht="79" customHeight="1" thickBot="1">
      <c r="A34" s="29"/>
      <c r="B34" s="40"/>
      <c r="C34" s="51"/>
      <c r="D34" s="52"/>
      <c r="E34" s="53"/>
      <c r="F34" s="23"/>
      <c r="G34" s="23"/>
      <c r="H34" s="23"/>
    </row>
    <row r="35" spans="1:8" ht="23" customHeight="1">
      <c r="A35" s="20" t="s">
        <v>21</v>
      </c>
      <c r="B35" s="20" t="s">
        <v>22</v>
      </c>
      <c r="C35" s="54" t="s">
        <v>52</v>
      </c>
      <c r="D35" s="55"/>
      <c r="E35" s="56"/>
      <c r="F35" s="66"/>
      <c r="G35" s="67"/>
      <c r="H35" s="37">
        <f>SUM(H18:H34)</f>
        <v>9016400</v>
      </c>
    </row>
    <row r="36" spans="1:8" ht="15.5">
      <c r="A36" s="35"/>
      <c r="B36" s="20" t="s">
        <v>23</v>
      </c>
      <c r="C36" s="57" t="s">
        <v>24</v>
      </c>
      <c r="D36" s="58"/>
      <c r="E36" s="59"/>
      <c r="F36" s="68"/>
      <c r="G36" s="69"/>
      <c r="H36" s="38"/>
    </row>
    <row r="37" spans="1:8" ht="15.5">
      <c r="A37" s="35"/>
      <c r="B37" s="36"/>
      <c r="C37" s="60"/>
      <c r="D37" s="58"/>
      <c r="E37" s="59"/>
      <c r="F37" s="70" t="s">
        <v>25</v>
      </c>
      <c r="G37" s="69"/>
      <c r="H37" s="37">
        <f>H35+H36</f>
        <v>9016400</v>
      </c>
    </row>
    <row r="38" spans="1:8" ht="15.5">
      <c r="A38" s="5"/>
      <c r="B38" s="21" t="s">
        <v>26</v>
      </c>
      <c r="C38" s="71" t="s">
        <v>27</v>
      </c>
      <c r="D38" s="65"/>
      <c r="E38" s="65"/>
      <c r="F38" s="65"/>
      <c r="G38" s="65"/>
      <c r="H38" s="65"/>
    </row>
    <row r="39" spans="1:8" ht="15.75" customHeight="1">
      <c r="A39" s="5"/>
      <c r="B39" s="1"/>
      <c r="C39" s="71" t="s">
        <v>28</v>
      </c>
      <c r="D39" s="65"/>
      <c r="E39" s="65"/>
      <c r="F39" s="65"/>
      <c r="G39" s="65"/>
      <c r="H39" s="65"/>
    </row>
    <row r="40" spans="1:8" ht="15.75" customHeight="1">
      <c r="A40" s="5"/>
      <c r="B40" s="1"/>
      <c r="C40" s="72"/>
      <c r="D40" s="65"/>
      <c r="E40" s="65"/>
      <c r="F40" s="65"/>
      <c r="G40" s="65"/>
      <c r="H40" s="65"/>
    </row>
    <row r="41" spans="1:8" ht="15.75" customHeight="1">
      <c r="A41" s="5"/>
      <c r="B41" s="1"/>
      <c r="C41" s="72"/>
      <c r="D41" s="65"/>
      <c r="E41" s="65"/>
      <c r="F41" s="65"/>
      <c r="G41" s="65"/>
      <c r="H41" s="65"/>
    </row>
    <row r="42" spans="1:8" ht="15.75" customHeight="1" thickBot="1">
      <c r="A42" s="1"/>
      <c r="B42" s="73" t="s">
        <v>29</v>
      </c>
      <c r="C42" s="74"/>
      <c r="D42" s="74"/>
      <c r="E42" s="45"/>
      <c r="F42" s="1"/>
      <c r="G42" s="1"/>
      <c r="H42" s="1"/>
    </row>
    <row r="43" spans="1:8" ht="15.75" customHeight="1">
      <c r="A43" s="1"/>
      <c r="B43" s="64" t="s">
        <v>30</v>
      </c>
      <c r="C43" s="65"/>
      <c r="D43" s="65"/>
      <c r="E43" s="44"/>
      <c r="F43" s="1"/>
      <c r="G43" s="1"/>
      <c r="H43" s="1"/>
    </row>
    <row r="44" spans="1:8" ht="15.75" customHeight="1">
      <c r="A44" s="1"/>
      <c r="B44" s="1"/>
      <c r="C44" s="1"/>
      <c r="D44" s="1"/>
      <c r="E44" s="1"/>
      <c r="F44" s="1"/>
      <c r="G44" s="1"/>
      <c r="H44" s="1"/>
    </row>
  </sheetData>
  <mergeCells count="39">
    <mergeCell ref="A17:B17"/>
    <mergeCell ref="A30:B30"/>
    <mergeCell ref="A25:A26"/>
    <mergeCell ref="B25:B26"/>
    <mergeCell ref="C17:E17"/>
    <mergeCell ref="C18:E18"/>
    <mergeCell ref="C19:E19"/>
    <mergeCell ref="C20:E20"/>
    <mergeCell ref="C21:E21"/>
    <mergeCell ref="C29:E29"/>
    <mergeCell ref="C30:E30"/>
    <mergeCell ref="C28:E28"/>
    <mergeCell ref="C31:E31"/>
    <mergeCell ref="C32:E32"/>
    <mergeCell ref="G7:H7"/>
    <mergeCell ref="G8:H8"/>
    <mergeCell ref="G9:H9"/>
    <mergeCell ref="G10:H10"/>
    <mergeCell ref="C16:E16"/>
    <mergeCell ref="F30:G30"/>
    <mergeCell ref="C22:E22"/>
    <mergeCell ref="C25:D26"/>
    <mergeCell ref="C24:E24"/>
    <mergeCell ref="C27:E27"/>
    <mergeCell ref="C23:E23"/>
    <mergeCell ref="B43:D43"/>
    <mergeCell ref="F35:G35"/>
    <mergeCell ref="F36:G36"/>
    <mergeCell ref="F37:G37"/>
    <mergeCell ref="C38:H38"/>
    <mergeCell ref="C39:H39"/>
    <mergeCell ref="C40:H40"/>
    <mergeCell ref="C41:H41"/>
    <mergeCell ref="B42:D42"/>
    <mergeCell ref="C34:E34"/>
    <mergeCell ref="C35:E35"/>
    <mergeCell ref="C36:E36"/>
    <mergeCell ref="C37:E37"/>
    <mergeCell ref="C33:E33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2025客戶系統報價單 (硬體、軟體)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Huang</dc:creator>
  <cp:lastModifiedBy>Jeremy Huang</cp:lastModifiedBy>
  <cp:lastPrinted>2025-06-20T05:20:46Z</cp:lastPrinted>
  <dcterms:created xsi:type="dcterms:W3CDTF">2025-05-03T03:24:25Z</dcterms:created>
  <dcterms:modified xsi:type="dcterms:W3CDTF">2025-06-23T02:09:24Z</dcterms:modified>
</cp:coreProperties>
</file>