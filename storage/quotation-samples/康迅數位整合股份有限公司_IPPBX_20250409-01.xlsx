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我的雲端硬碟\Kevin 工作區\報價\IPPBX\"/>
    </mc:Choice>
  </mc:AlternateContent>
  <xr:revisionPtr revIDLastSave="0" documentId="8_{2E682458-7485-4C76-87EB-2A96E2E8F3B5}" xr6:coauthVersionLast="47" xr6:coauthVersionMax="47" xr10:uidLastSave="{00000000-0000-0000-0000-000000000000}"/>
  <bookViews>
    <workbookView xWindow="28680" yWindow="-120" windowWidth="29040" windowHeight="15720" tabRatio="458" xr2:uid="{00000000-000D-0000-FFFF-FFFF00000000}"/>
  </bookViews>
  <sheets>
    <sheet name="sale_order" sheetId="1" r:id="rId1"/>
  </sheets>
  <definedNames>
    <definedName name="_xlnm.Print_Area" localSheetId="0">sale_order!$A$1:$G$32</definedName>
  </definedNames>
  <calcPr calcId="191029"/>
</workbook>
</file>

<file path=xl/calcChain.xml><?xml version="1.0" encoding="utf-8"?>
<calcChain xmlns="http://schemas.openxmlformats.org/spreadsheetml/2006/main">
  <c r="G16" i="1" l="1"/>
  <c r="G18" i="1" s="1"/>
  <c r="A16" i="1"/>
  <c r="G17" i="1" l="1"/>
  <c r="G19" i="1" s="1"/>
  <c r="G20" i="1" s="1"/>
</calcChain>
</file>

<file path=xl/sharedStrings.xml><?xml version="1.0" encoding="utf-8"?>
<sst xmlns="http://schemas.openxmlformats.org/spreadsheetml/2006/main" count="50" uniqueCount="50">
  <si>
    <t xml:space="preserve">  </t>
  </si>
  <si>
    <t>QUOTATION</t>
  </si>
  <si>
    <t>顯赫資訊股份有限公司</t>
  </si>
  <si>
    <t>統一編號：80426746</t>
  </si>
  <si>
    <t>地址：新北市中和區建一路166號13樓之3</t>
  </si>
  <si>
    <t>公 司 名 稱：</t>
  </si>
  <si>
    <t>報價日期：</t>
  </si>
  <si>
    <t>聯    絡    人：</t>
  </si>
  <si>
    <t xml:space="preserve"> 聯 絡 人  ：</t>
  </si>
  <si>
    <t>林大志 Kevin</t>
  </si>
  <si>
    <t>聯 絡 電 話：</t>
  </si>
  <si>
    <t xml:space="preserve"> 電      話  ：</t>
  </si>
  <si>
    <t>0933-030-309</t>
  </si>
  <si>
    <t>公 司 電 話：</t>
  </si>
  <si>
    <t xml:space="preserve"> 傳      真  ：</t>
  </si>
  <si>
    <t>02-8226-9211</t>
  </si>
  <si>
    <t>E-Mail：</t>
  </si>
  <si>
    <t xml:space="preserve">    E-Mail  ：</t>
  </si>
  <si>
    <t>kevin@gentrice.net</t>
  </si>
  <si>
    <t>專案：</t>
  </si>
  <si>
    <t>貴公司所詢問之產品,報價如下:</t>
  </si>
  <si>
    <t>單位：新台幣 元</t>
  </si>
  <si>
    <t>項次</t>
  </si>
  <si>
    <t>產品名稱</t>
  </si>
  <si>
    <t>規格</t>
  </si>
  <si>
    <t>單價</t>
  </si>
  <si>
    <t>數量</t>
  </si>
  <si>
    <t>小計</t>
  </si>
  <si>
    <t>SUB TOTAL：</t>
  </si>
  <si>
    <t>註：</t>
  </si>
  <si>
    <t>未稅小計：</t>
  </si>
  <si>
    <t>付款條件：</t>
  </si>
  <si>
    <t>即期或月結30天。</t>
  </si>
  <si>
    <t>5%營業稅：</t>
  </si>
  <si>
    <t>含稅金額：</t>
  </si>
  <si>
    <t>Remark ：</t>
  </si>
  <si>
    <t>Signature</t>
  </si>
  <si>
    <t>本報價單於取得客戶之同意簽章後，視為正式訂單即刻生效。</t>
  </si>
  <si>
    <t>康迅數位整合股份有限公司</t>
    <phoneticPr fontId="1" type="noConversion"/>
  </si>
  <si>
    <t>02 3322-3866</t>
    <phoneticPr fontId="1" type="noConversion"/>
  </si>
  <si>
    <t>miffy_lee@payeasy.com.tw</t>
    <phoneticPr fontId="1" type="noConversion"/>
  </si>
  <si>
    <t>PayEasy MA</t>
    <phoneticPr fontId="1" type="noConversion"/>
  </si>
  <si>
    <t>李逸婷 Miffy Lee 小姐</t>
    <phoneticPr fontId="1" type="noConversion"/>
  </si>
  <si>
    <t>IPPBX系統維護</t>
  </si>
  <si>
    <t>2.系統維護不含硬體主機。</t>
    <phoneticPr fontId="1" type="noConversion"/>
  </si>
  <si>
    <t>1.報價單有效期限為 即日起30日內(含假日)有效</t>
    <phoneticPr fontId="1" type="noConversion"/>
  </si>
  <si>
    <t>維護條件：</t>
    <phoneticPr fontId="1" type="noConversion"/>
  </si>
  <si>
    <t>一年</t>
    <phoneticPr fontId="1" type="noConversion"/>
  </si>
  <si>
    <t>IPPBX系統維護一式：
IPPBX交換機系統軟體。數量：1套。
維護期間：(2025/06/01～2026/05/31）</t>
    <phoneticPr fontId="1" type="noConversion"/>
  </si>
  <si>
    <t>20250409-01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</si>
</sst>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38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name val="Times New Roman"/>
      <family val="1"/>
    </font>
    <font>
      <sz val="14"/>
      <name val="Times New Roman"/>
      <family val="1"/>
    </font>
    <font>
      <sz val="20"/>
      <name val="細明體"/>
      <family val="3"/>
    </font>
    <font>
      <b/>
      <sz val="16"/>
      <name val="Times New Roman"/>
      <family val="1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indexed="8"/>
      <name val="微軟正黑體"/>
      <family val="2"/>
      <charset val="136"/>
    </font>
    <font>
      <b/>
      <sz val="20"/>
      <name val="細明體"/>
      <family val="3"/>
      <charset val="136"/>
    </font>
    <font>
      <sz val="20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name val="Calibri"/>
      <family val="2"/>
    </font>
    <font>
      <sz val="20"/>
      <name val="Calibri"/>
      <family val="2"/>
    </font>
    <font>
      <b/>
      <sz val="26"/>
      <name val="Calibri"/>
      <family val="2"/>
    </font>
    <font>
      <sz val="12"/>
      <name val="Calibri"/>
      <family val="2"/>
    </font>
    <font>
      <sz val="16"/>
      <name val="Calibri"/>
      <family val="2"/>
    </font>
    <font>
      <u/>
      <sz val="22"/>
      <color indexed="12"/>
      <name val="新細明體"/>
      <family val="1"/>
      <charset val="136"/>
    </font>
    <font>
      <b/>
      <sz val="24"/>
      <name val="Calibri"/>
      <family val="2"/>
    </font>
    <font>
      <sz val="24"/>
      <name val="Calibri"/>
      <family val="2"/>
    </font>
    <font>
      <b/>
      <sz val="25"/>
      <name val="微軟正黑體"/>
      <family val="2"/>
      <charset val="136"/>
    </font>
    <font>
      <sz val="18"/>
      <name val="新細明體"/>
      <family val="1"/>
      <charset val="136"/>
    </font>
    <font>
      <sz val="18"/>
      <name val="微軟正黑體"/>
      <family val="2"/>
      <charset val="136"/>
    </font>
    <font>
      <b/>
      <sz val="20"/>
      <name val="Calibri"/>
      <family val="2"/>
      <charset val="136"/>
    </font>
    <font>
      <b/>
      <sz val="18"/>
      <name val="新細明體"/>
      <family val="1"/>
      <charset val="136"/>
      <scheme val="minor"/>
    </font>
    <font>
      <sz val="16"/>
      <name val="Calibri"/>
      <family val="2"/>
      <charset val="136"/>
    </font>
    <font>
      <sz val="16"/>
      <name val="Calibri"/>
      <family val="1"/>
      <charset val="136"/>
    </font>
    <font>
      <b/>
      <sz val="20"/>
      <name val="Calibri"/>
      <family val="1"/>
      <charset val="136"/>
    </font>
    <font>
      <b/>
      <sz val="3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43" fontId="10" fillId="0" borderId="0"/>
    <xf numFmtId="0" fontId="2" fillId="0" borderId="0">
      <alignment vertical="top"/>
      <protection locked="0"/>
    </xf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</cellStyleXfs>
  <cellXfs count="84">
    <xf numFmtId="0" fontId="0" fillId="0" borderId="0" xfId="0"/>
    <xf numFmtId="0" fontId="4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4" fillId="0" borderId="1" xfId="0" applyFont="1" applyBorder="1"/>
    <xf numFmtId="14" fontId="7" fillId="0" borderId="2" xfId="0" applyNumberFormat="1" applyFont="1" applyBorder="1"/>
    <xf numFmtId="14" fontId="7" fillId="0" borderId="0" xfId="0" applyNumberFormat="1" applyFont="1"/>
    <xf numFmtId="0" fontId="7" fillId="0" borderId="0" xfId="0" applyFont="1"/>
    <xf numFmtId="0" fontId="10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49" fontId="11" fillId="0" borderId="0" xfId="0" applyNumberFormat="1" applyFont="1" applyAlignment="1">
      <alignment horizontal="left"/>
    </xf>
    <xf numFmtId="0" fontId="12" fillId="0" borderId="0" xfId="0" applyFont="1"/>
    <xf numFmtId="0" fontId="6" fillId="2" borderId="3" xfId="0" applyFont="1" applyFill="1" applyBorder="1" applyAlignment="1">
      <alignment horizontal="center"/>
    </xf>
    <xf numFmtId="176" fontId="6" fillId="2" borderId="3" xfId="1" applyNumberFormat="1" applyFont="1" applyFill="1" applyBorder="1" applyAlignment="1">
      <alignment horizontal="left"/>
    </xf>
    <xf numFmtId="0" fontId="13" fillId="0" borderId="0" xfId="0" applyFont="1" applyAlignment="1">
      <alignment wrapText="1"/>
    </xf>
    <xf numFmtId="0" fontId="15" fillId="0" borderId="3" xfId="0" applyFont="1" applyBorder="1" applyAlignment="1">
      <alignment horizontal="right" vertical="center"/>
    </xf>
    <xf numFmtId="49" fontId="15" fillId="0" borderId="3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/>
    </xf>
    <xf numFmtId="0" fontId="21" fillId="0" borderId="0" xfId="0" applyFont="1" applyAlignment="1">
      <alignment horizontal="right" vertic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176" fontId="16" fillId="0" borderId="3" xfId="1" applyNumberFormat="1" applyFont="1" applyBorder="1" applyAlignment="1">
      <alignment horizontal="center" vertical="center" wrapText="1"/>
    </xf>
    <xf numFmtId="0" fontId="27" fillId="0" borderId="0" xfId="0" applyFont="1"/>
    <xf numFmtId="0" fontId="28" fillId="0" borderId="0" xfId="0" applyFont="1"/>
    <xf numFmtId="0" fontId="24" fillId="0" borderId="0" xfId="0" applyFont="1" applyAlignment="1">
      <alignment wrapText="1"/>
    </xf>
    <xf numFmtId="49" fontId="21" fillId="0" borderId="0" xfId="0" applyNumberFormat="1" applyFont="1" applyAlignment="1">
      <alignment horizontal="left"/>
    </xf>
    <xf numFmtId="0" fontId="29" fillId="0" borderId="0" xfId="0" applyFont="1"/>
    <xf numFmtId="38" fontId="17" fillId="0" borderId="3" xfId="1" applyNumberFormat="1" applyFont="1" applyBorder="1" applyAlignment="1">
      <alignment horizontal="right" vertical="center"/>
    </xf>
    <xf numFmtId="176" fontId="6" fillId="2" borderId="3" xfId="1" applyNumberFormat="1" applyFont="1" applyFill="1" applyBorder="1" applyAlignment="1">
      <alignment horizontal="left" wrapText="1"/>
    </xf>
    <xf numFmtId="38" fontId="15" fillId="0" borderId="3" xfId="0" applyNumberFormat="1" applyFont="1" applyBorder="1" applyAlignment="1">
      <alignment horizontal="right" vertical="center"/>
    </xf>
    <xf numFmtId="0" fontId="32" fillId="0" borderId="0" xfId="0" applyFont="1" applyAlignment="1">
      <alignment horizontal="right" vertical="center"/>
    </xf>
    <xf numFmtId="0" fontId="34" fillId="0" borderId="0" xfId="0" applyFont="1"/>
    <xf numFmtId="0" fontId="35" fillId="0" borderId="0" xfId="0" applyFont="1"/>
    <xf numFmtId="58" fontId="36" fillId="0" borderId="2" xfId="0" applyNumberFormat="1" applyFont="1" applyBorder="1" applyAlignment="1">
      <alignment horizontal="right"/>
    </xf>
    <xf numFmtId="0" fontId="36" fillId="0" borderId="0" xfId="0" applyFont="1" applyAlignment="1">
      <alignment horizontal="right"/>
    </xf>
    <xf numFmtId="0" fontId="15" fillId="0" borderId="0" xfId="0" applyFont="1" applyAlignment="1">
      <alignment horizontal="right" vertical="center"/>
    </xf>
    <xf numFmtId="49" fontId="33" fillId="0" borderId="0" xfId="0" applyNumberFormat="1" applyFont="1" applyAlignment="1">
      <alignment horizontal="left"/>
    </xf>
    <xf numFmtId="49" fontId="19" fillId="0" borderId="0" xfId="0" applyNumberFormat="1" applyFont="1" applyAlignment="1">
      <alignment horizontal="left"/>
    </xf>
    <xf numFmtId="3" fontId="15" fillId="0" borderId="3" xfId="1" applyNumberFormat="1" applyFont="1" applyBorder="1" applyAlignment="1">
      <alignment horizontal="right" vertical="center" wrapText="1"/>
    </xf>
    <xf numFmtId="3" fontId="15" fillId="0" borderId="3" xfId="1" applyNumberFormat="1" applyFont="1" applyBorder="1" applyAlignment="1">
      <alignment horizontal="right" vertical="center"/>
    </xf>
    <xf numFmtId="0" fontId="21" fillId="0" borderId="0" xfId="0" applyFont="1" applyAlignment="1">
      <alignment horizontal="right" wrapText="1"/>
    </xf>
    <xf numFmtId="0" fontId="21" fillId="0" borderId="0" xfId="0" applyFont="1" applyAlignment="1">
      <alignment horizontal="right"/>
    </xf>
    <xf numFmtId="176" fontId="6" fillId="2" borderId="3" xfId="1" applyNumberFormat="1" applyFont="1" applyFill="1" applyBorder="1" applyAlignment="1">
      <alignment horizontal="left" wrapText="1"/>
    </xf>
    <xf numFmtId="0" fontId="0" fillId="0" borderId="7" xfId="0" applyBorder="1"/>
    <xf numFmtId="0" fontId="12" fillId="0" borderId="0" xfId="0" applyFont="1" applyAlignment="1">
      <alignment horizontal="left"/>
    </xf>
    <xf numFmtId="0" fontId="10" fillId="0" borderId="0" xfId="0" applyFont="1"/>
    <xf numFmtId="49" fontId="15" fillId="0" borderId="3" xfId="1" applyNumberFormat="1" applyFont="1" applyBorder="1" applyAlignment="1">
      <alignment horizontal="left" wrapText="1"/>
    </xf>
    <xf numFmtId="0" fontId="15" fillId="0" borderId="6" xfId="0" applyFont="1" applyBorder="1"/>
    <xf numFmtId="0" fontId="0" fillId="0" borderId="6" xfId="0" applyBorder="1"/>
    <xf numFmtId="0" fontId="13" fillId="0" borderId="0" xfId="0" applyFont="1" applyAlignment="1">
      <alignment wrapText="1"/>
    </xf>
    <xf numFmtId="0" fontId="3" fillId="0" borderId="0" xfId="0" applyFont="1"/>
    <xf numFmtId="38" fontId="15" fillId="0" borderId="3" xfId="0" applyNumberFormat="1" applyFont="1" applyBorder="1" applyAlignment="1">
      <alignment horizontal="right" vertical="center"/>
    </xf>
    <xf numFmtId="0" fontId="12" fillId="0" borderId="0" xfId="0" applyFont="1"/>
    <xf numFmtId="0" fontId="15" fillId="0" borderId="4" xfId="0" applyFont="1" applyBorder="1" applyAlignment="1">
      <alignment horizontal="justify"/>
    </xf>
    <xf numFmtId="0" fontId="0" fillId="0" borderId="4" xfId="0" applyBorder="1"/>
    <xf numFmtId="0" fontId="14" fillId="0" borderId="5" xfId="0" applyFont="1" applyBorder="1" applyAlignment="1">
      <alignment horizontal="left"/>
    </xf>
    <xf numFmtId="0" fontId="0" fillId="0" borderId="5" xfId="0" applyBorder="1"/>
    <xf numFmtId="0" fontId="15" fillId="0" borderId="0" xfId="0" applyFont="1"/>
    <xf numFmtId="0" fontId="4" fillId="0" borderId="0" xfId="0" applyFont="1"/>
    <xf numFmtId="0" fontId="20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8" fillId="0" borderId="0" xfId="0" applyFont="1"/>
    <xf numFmtId="49" fontId="31" fillId="0" borderId="0" xfId="0" applyNumberFormat="1" applyFont="1" applyAlignment="1">
      <alignment horizontal="left"/>
    </xf>
    <xf numFmtId="0" fontId="37" fillId="0" borderId="0" xfId="0" applyFont="1" applyAlignment="1">
      <alignment horizontal="center" vertical="top"/>
    </xf>
    <xf numFmtId="0" fontId="9" fillId="0" borderId="0" xfId="0" applyFont="1"/>
    <xf numFmtId="0" fontId="9" fillId="0" borderId="0" xfId="0" applyFont="1" applyAlignment="1">
      <alignment wrapText="1"/>
    </xf>
    <xf numFmtId="49" fontId="19" fillId="0" borderId="2" xfId="0" applyNumberFormat="1" applyFont="1" applyBorder="1" applyAlignment="1">
      <alignment horizontal="left"/>
    </xf>
    <xf numFmtId="0" fontId="0" fillId="0" borderId="2" xfId="0" applyBorder="1"/>
    <xf numFmtId="38" fontId="17" fillId="0" borderId="3" xfId="1" applyNumberFormat="1" applyFont="1" applyBorder="1" applyAlignment="1">
      <alignment horizontal="right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49" fontId="22" fillId="0" borderId="0" xfId="0" applyNumberFormat="1" applyFont="1" applyAlignment="1">
      <alignment horizontal="left"/>
    </xf>
    <xf numFmtId="49" fontId="15" fillId="0" borderId="3" xfId="15" applyNumberFormat="1" applyFont="1" applyBorder="1" applyAlignment="1">
      <alignment horizontal="left" vertical="center" wrapText="1"/>
    </xf>
    <xf numFmtId="49" fontId="18" fillId="0" borderId="0" xfId="0" applyNumberFormat="1" applyFont="1" applyAlignment="1">
      <alignment horizontal="left"/>
    </xf>
    <xf numFmtId="0" fontId="26" fillId="0" borderId="0" xfId="2" applyFont="1" applyAlignment="1" applyProtection="1">
      <alignment wrapText="1"/>
    </xf>
    <xf numFmtId="49" fontId="30" fillId="0" borderId="0" xfId="0" applyNumberFormat="1" applyFont="1" applyAlignment="1">
      <alignment horizontal="left"/>
    </xf>
    <xf numFmtId="49" fontId="15" fillId="0" borderId="3" xfId="1" applyNumberFormat="1" applyFont="1" applyBorder="1" applyAlignment="1">
      <alignment horizontal="left" vertical="center" wrapText="1"/>
    </xf>
  </cellXfs>
  <cellStyles count="27">
    <cellStyle name="一般" xfId="0" builtinId="0"/>
    <cellStyle name="千分位" xfId="1" builtinId="3"/>
    <cellStyle name="千分位 10" xfId="19" xr:uid="{00000000-0005-0000-0000-000013000000}"/>
    <cellStyle name="千分位 2" xfId="4" xr:uid="{00000000-0005-0000-0000-000004000000}"/>
    <cellStyle name="千分位 2 2" xfId="6" xr:uid="{00000000-0005-0000-0000-000006000000}"/>
    <cellStyle name="千分位 2 2 2" xfId="15" xr:uid="{00000000-0005-0000-0000-00000F000000}"/>
    <cellStyle name="千分位 2 2 2 2" xfId="26" xr:uid="{00000000-0005-0000-0000-00001A000000}"/>
    <cellStyle name="千分位 2 2 3" xfId="22" xr:uid="{00000000-0005-0000-0000-000016000000}"/>
    <cellStyle name="千分位 2 3" xfId="13" xr:uid="{00000000-0005-0000-0000-00000D000000}"/>
    <cellStyle name="千分位 2 3 2" xfId="24" xr:uid="{00000000-0005-0000-0000-000018000000}"/>
    <cellStyle name="千分位 2 4" xfId="10" xr:uid="{00000000-0005-0000-0000-00000A000000}"/>
    <cellStyle name="千分位 2 5" xfId="17" xr:uid="{00000000-0005-0000-0000-000011000000}"/>
    <cellStyle name="千分位 2 6" xfId="20" xr:uid="{00000000-0005-0000-0000-000014000000}"/>
    <cellStyle name="千分位 3" xfId="5" xr:uid="{00000000-0005-0000-0000-000005000000}"/>
    <cellStyle name="千分位 3 2" xfId="14" xr:uid="{00000000-0005-0000-0000-00000E000000}"/>
    <cellStyle name="千分位 3 2 2" xfId="25" xr:uid="{00000000-0005-0000-0000-000019000000}"/>
    <cellStyle name="千分位 3 3" xfId="11" xr:uid="{00000000-0005-0000-0000-00000B000000}"/>
    <cellStyle name="千分位 3 4" xfId="18" xr:uid="{00000000-0005-0000-0000-000012000000}"/>
    <cellStyle name="千分位 3 5" xfId="21" xr:uid="{00000000-0005-0000-0000-000015000000}"/>
    <cellStyle name="千分位 4" xfId="12" xr:uid="{00000000-0005-0000-0000-00000C000000}"/>
    <cellStyle name="千分位 4 2" xfId="23" xr:uid="{00000000-0005-0000-0000-000017000000}"/>
    <cellStyle name="千分位 5" xfId="9" xr:uid="{00000000-0005-0000-0000-000009000000}"/>
    <cellStyle name="千分位 6" xfId="8" xr:uid="{00000000-0005-0000-0000-000008000000}"/>
    <cellStyle name="千分位 7" xfId="7" xr:uid="{00000000-0005-0000-0000-000007000000}"/>
    <cellStyle name="千分位 8" xfId="3" xr:uid="{00000000-0005-0000-0000-000003000000}"/>
    <cellStyle name="千分位 9" xfId="16" xr:uid="{00000000-0005-0000-0000-000010000000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46"/>
  <sheetViews>
    <sheetView tabSelected="1" view="pageBreakPreview" topLeftCell="A4" zoomScale="80" zoomScaleNormal="80" zoomScaleSheetLayoutView="80" workbookViewId="0">
      <selection activeCell="M18" sqref="M18"/>
    </sheetView>
  </sheetViews>
  <sheetFormatPr defaultColWidth="9" defaultRowHeight="17" x14ac:dyDescent="0.4"/>
  <cols>
    <col min="1" max="1" width="7.36328125" style="5" customWidth="1"/>
    <col min="2" max="2" width="33.1796875" style="5" customWidth="1"/>
    <col min="3" max="3" width="30.1796875" style="5" customWidth="1"/>
    <col min="4" max="4" width="45.6328125" style="15" customWidth="1"/>
    <col min="5" max="5" width="20.453125" style="15" customWidth="1"/>
    <col min="6" max="6" width="13" style="5" customWidth="1"/>
    <col min="7" max="7" width="21.1796875" style="5" customWidth="1"/>
    <col min="8" max="8" width="9" style="5" customWidth="1"/>
    <col min="9" max="16384" width="9" style="5"/>
  </cols>
  <sheetData>
    <row r="3" spans="1:13" ht="22" customHeight="1" x14ac:dyDescent="0.45">
      <c r="A3" s="2"/>
      <c r="B3" s="1"/>
      <c r="C3" s="1"/>
      <c r="D3" s="11"/>
      <c r="E3" s="11"/>
      <c r="F3" s="1"/>
      <c r="G3" s="1"/>
    </row>
    <row r="4" spans="1:13" ht="45" customHeight="1" x14ac:dyDescent="0.75">
      <c r="A4" s="17" t="s">
        <v>0</v>
      </c>
      <c r="B4" s="1"/>
      <c r="C4" s="70" t="s">
        <v>1</v>
      </c>
      <c r="D4" s="71"/>
      <c r="E4" s="33" t="s">
        <v>2</v>
      </c>
      <c r="F4" s="26"/>
      <c r="G4" s="25"/>
    </row>
    <row r="5" spans="1:13" ht="23" customHeight="1" x14ac:dyDescent="0.5">
      <c r="A5" s="2"/>
      <c r="B5" s="1"/>
      <c r="C5" s="71"/>
      <c r="D5" s="72"/>
      <c r="E5" s="38" t="s">
        <v>3</v>
      </c>
      <c r="F5" s="26"/>
      <c r="G5" s="27"/>
    </row>
    <row r="6" spans="1:13" ht="23" customHeight="1" thickBot="1" x14ac:dyDescent="0.55000000000000004">
      <c r="A6" s="2"/>
      <c r="B6" s="6"/>
      <c r="C6" s="6"/>
      <c r="D6" s="13"/>
      <c r="E6" s="39" t="s">
        <v>4</v>
      </c>
      <c r="F6" s="26"/>
      <c r="G6" s="27"/>
    </row>
    <row r="7" spans="1:13" s="4" customFormat="1" ht="32.25" customHeight="1" thickTop="1" x14ac:dyDescent="0.6">
      <c r="A7" s="7"/>
      <c r="B7" s="40" t="s">
        <v>5</v>
      </c>
      <c r="C7" s="73" t="s">
        <v>38</v>
      </c>
      <c r="D7" s="74"/>
      <c r="E7" s="47" t="s">
        <v>6</v>
      </c>
      <c r="F7" s="76" t="s">
        <v>49</v>
      </c>
      <c r="G7" s="77"/>
    </row>
    <row r="8" spans="1:13" s="4" customFormat="1" ht="29.25" customHeight="1" x14ac:dyDescent="0.6">
      <c r="A8" s="8"/>
      <c r="B8" s="41" t="s">
        <v>7</v>
      </c>
      <c r="C8" s="69" t="s">
        <v>42</v>
      </c>
      <c r="D8" s="68"/>
      <c r="E8" s="48" t="s">
        <v>8</v>
      </c>
      <c r="F8" s="80" t="s">
        <v>9</v>
      </c>
      <c r="G8" s="68"/>
    </row>
    <row r="9" spans="1:13" s="4" customFormat="1" ht="27.75" customHeight="1" x14ac:dyDescent="0.6">
      <c r="A9" s="9"/>
      <c r="B9" s="41" t="s">
        <v>10</v>
      </c>
      <c r="C9" s="78" t="s">
        <v>39</v>
      </c>
      <c r="D9" s="68"/>
      <c r="E9" s="47" t="s">
        <v>11</v>
      </c>
      <c r="F9" s="67" t="s">
        <v>12</v>
      </c>
      <c r="G9" s="68"/>
    </row>
    <row r="10" spans="1:13" s="4" customFormat="1" ht="27.5" customHeight="1" x14ac:dyDescent="0.6">
      <c r="A10" s="9"/>
      <c r="B10" s="41" t="s">
        <v>13</v>
      </c>
      <c r="C10" s="78"/>
      <c r="D10" s="68"/>
      <c r="E10" s="47" t="s">
        <v>14</v>
      </c>
      <c r="F10" s="67" t="s">
        <v>15</v>
      </c>
      <c r="G10" s="68"/>
    </row>
    <row r="11" spans="1:13" s="4" customFormat="1" ht="27.75" customHeight="1" x14ac:dyDescent="0.6">
      <c r="A11" s="9"/>
      <c r="B11" s="24" t="s">
        <v>16</v>
      </c>
      <c r="C11" s="82" t="s">
        <v>40</v>
      </c>
      <c r="D11" s="68"/>
      <c r="E11" s="47" t="s">
        <v>17</v>
      </c>
      <c r="F11" s="43" t="s">
        <v>18</v>
      </c>
    </row>
    <row r="12" spans="1:13" s="4" customFormat="1" ht="33" customHeight="1" x14ac:dyDescent="0.7">
      <c r="A12" s="9"/>
      <c r="B12" s="24"/>
      <c r="C12" s="81"/>
      <c r="D12" s="68"/>
      <c r="E12" s="14"/>
      <c r="F12" s="9"/>
      <c r="G12" s="9"/>
    </row>
    <row r="13" spans="1:13" s="4" customFormat="1" ht="30" customHeight="1" x14ac:dyDescent="0.6">
      <c r="A13" s="9"/>
      <c r="B13" s="37" t="s">
        <v>19</v>
      </c>
      <c r="C13" s="44" t="s">
        <v>41</v>
      </c>
      <c r="D13" s="14"/>
      <c r="E13" s="14"/>
      <c r="F13" s="9"/>
      <c r="G13" s="16"/>
      <c r="M13" s="14"/>
    </row>
    <row r="14" spans="1:13" s="26" customFormat="1" ht="34" customHeight="1" x14ac:dyDescent="0.7">
      <c r="A14" s="29" t="s">
        <v>20</v>
      </c>
      <c r="B14" s="30"/>
      <c r="C14" s="30"/>
      <c r="D14" s="31"/>
      <c r="E14" s="31"/>
      <c r="F14" s="32" t="s">
        <v>21</v>
      </c>
    </row>
    <row r="15" spans="1:13" s="4" customFormat="1" ht="39.75" customHeight="1" x14ac:dyDescent="0.6">
      <c r="A15" s="18" t="s">
        <v>22</v>
      </c>
      <c r="B15" s="19" t="s">
        <v>23</v>
      </c>
      <c r="C15" s="49" t="s">
        <v>24</v>
      </c>
      <c r="D15" s="50"/>
      <c r="E15" s="35" t="s">
        <v>25</v>
      </c>
      <c r="F15" s="19" t="s">
        <v>26</v>
      </c>
      <c r="G15" s="19" t="s">
        <v>27</v>
      </c>
    </row>
    <row r="16" spans="1:13" ht="100" customHeight="1" x14ac:dyDescent="0.4">
      <c r="A16" s="34">
        <f>IF(ISBLANK(B16),"",1)</f>
        <v>1</v>
      </c>
      <c r="B16" s="22" t="s">
        <v>43</v>
      </c>
      <c r="C16" s="79" t="s">
        <v>48</v>
      </c>
      <c r="D16" s="50"/>
      <c r="E16" s="45">
        <v>85000</v>
      </c>
      <c r="F16" s="46">
        <v>1</v>
      </c>
      <c r="G16" s="34">
        <f t="shared" ref="G16" si="0">IF(ISBLANK(E16),"",SUM(E16*F16))</f>
        <v>85000</v>
      </c>
    </row>
    <row r="17" spans="1:7" ht="27.75" customHeight="1" x14ac:dyDescent="0.45">
      <c r="A17" s="23"/>
      <c r="B17" s="28"/>
      <c r="C17" s="83"/>
      <c r="D17" s="50"/>
      <c r="E17" s="75" t="s">
        <v>28</v>
      </c>
      <c r="F17" s="50"/>
      <c r="G17" s="36">
        <f>SUM(G16:G16)</f>
        <v>85000</v>
      </c>
    </row>
    <row r="18" spans="1:7" ht="27.75" customHeight="1" x14ac:dyDescent="0.45">
      <c r="A18" s="21" t="s">
        <v>29</v>
      </c>
      <c r="B18" s="21" t="s">
        <v>46</v>
      </c>
      <c r="C18" s="53" t="s">
        <v>47</v>
      </c>
      <c r="D18" s="50"/>
      <c r="E18" s="75" t="s">
        <v>30</v>
      </c>
      <c r="F18" s="50"/>
      <c r="G18" s="36">
        <f>SUM(G16:G16)</f>
        <v>85000</v>
      </c>
    </row>
    <row r="19" spans="1:7" s="10" customFormat="1" ht="29.25" customHeight="1" x14ac:dyDescent="0.45">
      <c r="A19" s="23"/>
      <c r="B19" s="21" t="s">
        <v>31</v>
      </c>
      <c r="C19" s="53" t="s">
        <v>32</v>
      </c>
      <c r="D19" s="50"/>
      <c r="E19" s="58" t="s">
        <v>33</v>
      </c>
      <c r="F19" s="50"/>
      <c r="G19" s="36">
        <f>SUM(G17*1.05)-G17</f>
        <v>4250</v>
      </c>
    </row>
    <row r="20" spans="1:7" s="10" customFormat="1" ht="26.25" customHeight="1" x14ac:dyDescent="0.45">
      <c r="A20" s="23"/>
      <c r="B20" s="21"/>
      <c r="C20" s="53"/>
      <c r="D20" s="50"/>
      <c r="E20" s="58" t="s">
        <v>34</v>
      </c>
      <c r="F20" s="50"/>
      <c r="G20" s="36">
        <f>SUM(G18:G19)</f>
        <v>89250</v>
      </c>
    </row>
    <row r="21" spans="1:7" s="10" customFormat="1" ht="26.25" customHeight="1" x14ac:dyDescent="0.45">
      <c r="A21" s="3"/>
      <c r="B21" s="42" t="s">
        <v>35</v>
      </c>
      <c r="C21" s="54" t="s">
        <v>45</v>
      </c>
      <c r="D21" s="55"/>
      <c r="E21" s="55"/>
      <c r="F21" s="55"/>
      <c r="G21" s="55"/>
    </row>
    <row r="22" spans="1:7" s="10" customFormat="1" ht="31.5" customHeight="1" x14ac:dyDescent="0.6">
      <c r="A22" s="3"/>
      <c r="B22" s="4"/>
      <c r="C22" s="64" t="s">
        <v>44</v>
      </c>
      <c r="D22" s="65"/>
      <c r="E22" s="17"/>
      <c r="F22" s="17"/>
      <c r="G22" s="17"/>
    </row>
    <row r="23" spans="1:7" s="10" customFormat="1" ht="31.5" customHeight="1" x14ac:dyDescent="0.6">
      <c r="A23" s="3"/>
      <c r="B23" s="4"/>
      <c r="C23" s="66"/>
      <c r="D23" s="52"/>
      <c r="E23" s="52"/>
      <c r="F23" s="52"/>
      <c r="G23" s="52"/>
    </row>
    <row r="24" spans="1:7" s="10" customFormat="1" ht="31.5" customHeight="1" x14ac:dyDescent="0.6">
      <c r="A24" s="3"/>
      <c r="B24" s="4"/>
      <c r="C24" s="51"/>
      <c r="D24" s="52"/>
      <c r="E24" s="52"/>
      <c r="F24" s="52"/>
      <c r="G24" s="52"/>
    </row>
    <row r="25" spans="1:7" s="10" customFormat="1" ht="31.5" customHeight="1" x14ac:dyDescent="0.6">
      <c r="A25" s="3"/>
      <c r="B25" s="4"/>
      <c r="C25" s="51"/>
      <c r="D25" s="52"/>
      <c r="E25" s="52"/>
      <c r="F25" s="52"/>
      <c r="G25" s="52"/>
    </row>
    <row r="26" spans="1:7" s="10" customFormat="1" ht="31.5" customHeight="1" x14ac:dyDescent="0.6">
      <c r="A26" s="3"/>
      <c r="B26" s="4"/>
      <c r="C26" s="59"/>
      <c r="D26" s="52"/>
      <c r="E26" s="52"/>
      <c r="F26" s="52"/>
      <c r="G26" s="52"/>
    </row>
    <row r="27" spans="1:7" s="10" customFormat="1" ht="31.5" customHeight="1" x14ac:dyDescent="0.6">
      <c r="A27" s="3"/>
      <c r="B27" s="4"/>
      <c r="C27" s="59"/>
      <c r="D27" s="52"/>
      <c r="E27" s="52"/>
      <c r="F27" s="52"/>
      <c r="G27" s="52"/>
    </row>
    <row r="28" spans="1:7" s="10" customFormat="1" ht="31.5" customHeight="1" x14ac:dyDescent="0.6">
      <c r="A28" s="3"/>
      <c r="B28" s="4"/>
      <c r="C28" s="59"/>
      <c r="D28" s="52"/>
      <c r="E28" s="52"/>
      <c r="F28" s="52"/>
      <c r="G28" s="52"/>
    </row>
    <row r="29" spans="1:7" s="2" customFormat="1" ht="27.75" customHeight="1" thickBot="1" x14ac:dyDescent="0.5">
      <c r="A29" s="12"/>
      <c r="B29" s="62" t="s">
        <v>36</v>
      </c>
      <c r="C29" s="63"/>
      <c r="D29" s="63"/>
    </row>
    <row r="30" spans="1:7" s="2" customFormat="1" ht="33" customHeight="1" x14ac:dyDescent="0.45">
      <c r="B30" s="60" t="s">
        <v>37</v>
      </c>
      <c r="C30" s="61"/>
      <c r="D30" s="61"/>
    </row>
    <row r="31" spans="1:7" s="2" customFormat="1" ht="33" customHeight="1" x14ac:dyDescent="0.6">
      <c r="B31" s="20"/>
      <c r="C31" s="14"/>
      <c r="D31" s="14"/>
    </row>
    <row r="32" spans="1:7" s="2" customFormat="1" ht="47.25" customHeight="1" x14ac:dyDescent="0.6">
      <c r="B32" s="56"/>
      <c r="C32" s="57"/>
      <c r="D32" s="57"/>
      <c r="E32" s="57"/>
      <c r="F32" s="57"/>
      <c r="G32" s="57"/>
    </row>
    <row r="33" s="2" customFormat="1" ht="45" customHeight="1" x14ac:dyDescent="0.45"/>
    <row r="34" s="2" customFormat="1" ht="20" customHeight="1" x14ac:dyDescent="0.45"/>
    <row r="35" s="5" customFormat="1" x14ac:dyDescent="0.4"/>
    <row r="36" s="5" customFormat="1" x14ac:dyDescent="0.4"/>
    <row r="37" s="5" customFormat="1" x14ac:dyDescent="0.4"/>
    <row r="38" s="5" customFormat="1" x14ac:dyDescent="0.4"/>
    <row r="39" s="5" customFormat="1" x14ac:dyDescent="0.4"/>
    <row r="40" s="5" customFormat="1" x14ac:dyDescent="0.4"/>
    <row r="41" s="5" customFormat="1" x14ac:dyDescent="0.4"/>
    <row r="42" s="5" customFormat="1" x14ac:dyDescent="0.4"/>
    <row r="43" s="5" customFormat="1" x14ac:dyDescent="0.4"/>
    <row r="44" s="5" customFormat="1" x14ac:dyDescent="0.4"/>
    <row r="45" s="5" customFormat="1" x14ac:dyDescent="0.4"/>
    <row r="46" s="5" customFormat="1" x14ac:dyDescent="0.4"/>
    <row r="47" s="5" customFormat="1" x14ac:dyDescent="0.4"/>
    <row r="48" s="5" customFormat="1" x14ac:dyDescent="0.4"/>
    <row r="49" s="5" customFormat="1" x14ac:dyDescent="0.4"/>
    <row r="50" s="5" customFormat="1" x14ac:dyDescent="0.4"/>
    <row r="51" s="5" customFormat="1" x14ac:dyDescent="0.4"/>
    <row r="52" s="5" customFormat="1" x14ac:dyDescent="0.4"/>
    <row r="53" s="5" customFormat="1" x14ac:dyDescent="0.4"/>
    <row r="54" s="5" customFormat="1" x14ac:dyDescent="0.4"/>
    <row r="55" s="5" customFormat="1" x14ac:dyDescent="0.4"/>
    <row r="56" s="5" customFormat="1" x14ac:dyDescent="0.4"/>
    <row r="57" s="5" customFormat="1" x14ac:dyDescent="0.4"/>
    <row r="58" s="5" customFormat="1" x14ac:dyDescent="0.4"/>
    <row r="59" s="5" customFormat="1" x14ac:dyDescent="0.4"/>
    <row r="60" s="5" customFormat="1" x14ac:dyDescent="0.4"/>
    <row r="61" s="5" customFormat="1" x14ac:dyDescent="0.4"/>
    <row r="62" s="5" customFormat="1" x14ac:dyDescent="0.4"/>
    <row r="63" s="5" customFormat="1" x14ac:dyDescent="0.4"/>
    <row r="64" s="5" customFormat="1" x14ac:dyDescent="0.4"/>
    <row r="65" s="5" customFormat="1" x14ac:dyDescent="0.4"/>
    <row r="66" s="5" customFormat="1" x14ac:dyDescent="0.4"/>
    <row r="67" s="5" customFormat="1" x14ac:dyDescent="0.4"/>
    <row r="68" s="5" customFormat="1" x14ac:dyDescent="0.4"/>
    <row r="69" s="5" customFormat="1" x14ac:dyDescent="0.4"/>
    <row r="70" s="5" customFormat="1" x14ac:dyDescent="0.4"/>
    <row r="71" s="5" customFormat="1" x14ac:dyDescent="0.4"/>
    <row r="72" s="5" customFormat="1" x14ac:dyDescent="0.4"/>
    <row r="73" s="5" customFormat="1" x14ac:dyDescent="0.4"/>
    <row r="74" s="5" customFormat="1" x14ac:dyDescent="0.4"/>
    <row r="75" s="5" customFormat="1" x14ac:dyDescent="0.4"/>
    <row r="76" s="5" customFormat="1" x14ac:dyDescent="0.4"/>
    <row r="77" s="5" customFormat="1" x14ac:dyDescent="0.4"/>
    <row r="78" s="5" customFormat="1" x14ac:dyDescent="0.4"/>
    <row r="79" s="5" customFormat="1" x14ac:dyDescent="0.4"/>
    <row r="80" s="5" customFormat="1" x14ac:dyDescent="0.4"/>
    <row r="81" s="5" customFormat="1" x14ac:dyDescent="0.4"/>
    <row r="82" s="5" customFormat="1" x14ac:dyDescent="0.4"/>
    <row r="83" s="5" customFormat="1" x14ac:dyDescent="0.4"/>
    <row r="84" s="5" customFormat="1" x14ac:dyDescent="0.4"/>
    <row r="85" s="5" customFormat="1" x14ac:dyDescent="0.4"/>
    <row r="86" s="5" customFormat="1" x14ac:dyDescent="0.4"/>
    <row r="87" s="5" customFormat="1" x14ac:dyDescent="0.4"/>
    <row r="88" s="5" customFormat="1" x14ac:dyDescent="0.4"/>
    <row r="89" s="5" customFormat="1" x14ac:dyDescent="0.4"/>
    <row r="90" s="5" customFormat="1" x14ac:dyDescent="0.4"/>
    <row r="91" s="5" customFormat="1" x14ac:dyDescent="0.4"/>
    <row r="92" s="5" customFormat="1" x14ac:dyDescent="0.4"/>
    <row r="93" s="5" customFormat="1" x14ac:dyDescent="0.4"/>
    <row r="94" s="5" customFormat="1" x14ac:dyDescent="0.4"/>
    <row r="95" s="5" customFormat="1" x14ac:dyDescent="0.4"/>
    <row r="96" s="5" customFormat="1" x14ac:dyDescent="0.4"/>
    <row r="97" s="5" customFormat="1" x14ac:dyDescent="0.4"/>
    <row r="98" s="5" customFormat="1" x14ac:dyDescent="0.4"/>
    <row r="99" s="5" customFormat="1" x14ac:dyDescent="0.4"/>
    <row r="100" s="5" customFormat="1" x14ac:dyDescent="0.4"/>
    <row r="101" s="5" customFormat="1" x14ac:dyDescent="0.4"/>
    <row r="102" s="5" customFormat="1" x14ac:dyDescent="0.4"/>
    <row r="103" s="5" customFormat="1" x14ac:dyDescent="0.4"/>
    <row r="104" s="5" customFormat="1" x14ac:dyDescent="0.4"/>
    <row r="105" s="5" customFormat="1" x14ac:dyDescent="0.4"/>
    <row r="106" s="5" customFormat="1" x14ac:dyDescent="0.4"/>
    <row r="107" s="5" customFormat="1" x14ac:dyDescent="0.4"/>
    <row r="108" s="5" customFormat="1" x14ac:dyDescent="0.4"/>
    <row r="109" s="5" customFormat="1" x14ac:dyDescent="0.4"/>
    <row r="110" s="5" customFormat="1" x14ac:dyDescent="0.4"/>
    <row r="111" s="5" customFormat="1" x14ac:dyDescent="0.4"/>
    <row r="112" s="5" customFormat="1" x14ac:dyDescent="0.4"/>
    <row r="113" s="5" customFormat="1" x14ac:dyDescent="0.4"/>
    <row r="114" s="5" customFormat="1" x14ac:dyDescent="0.4"/>
    <row r="115" s="5" customFormat="1" x14ac:dyDescent="0.4"/>
    <row r="116" s="5" customFormat="1" x14ac:dyDescent="0.4"/>
    <row r="117" s="5" customFormat="1" x14ac:dyDescent="0.4"/>
    <row r="118" s="5" customFormat="1" x14ac:dyDescent="0.4"/>
    <row r="119" s="5" customFormat="1" x14ac:dyDescent="0.4"/>
    <row r="120" s="5" customFormat="1" x14ac:dyDescent="0.4"/>
    <row r="121" s="5" customFormat="1" x14ac:dyDescent="0.4"/>
    <row r="122" s="5" customFormat="1" x14ac:dyDescent="0.4"/>
    <row r="123" s="5" customFormat="1" x14ac:dyDescent="0.4"/>
    <row r="124" s="5" customFormat="1" x14ac:dyDescent="0.4"/>
    <row r="125" s="5" customFormat="1" x14ac:dyDescent="0.4"/>
    <row r="126" s="5" customFormat="1" x14ac:dyDescent="0.4"/>
    <row r="127" s="5" customFormat="1" x14ac:dyDescent="0.4"/>
    <row r="128" s="5" customFormat="1" x14ac:dyDescent="0.4"/>
    <row r="129" s="5" customFormat="1" x14ac:dyDescent="0.4"/>
    <row r="130" s="5" customFormat="1" x14ac:dyDescent="0.4"/>
    <row r="131" s="5" customFormat="1" x14ac:dyDescent="0.4"/>
    <row r="132" s="5" customFormat="1" x14ac:dyDescent="0.4"/>
    <row r="133" s="5" customFormat="1" x14ac:dyDescent="0.4"/>
    <row r="134" s="5" customFormat="1" x14ac:dyDescent="0.4"/>
    <row r="135" s="5" customFormat="1" x14ac:dyDescent="0.4"/>
    <row r="136" s="5" customFormat="1" x14ac:dyDescent="0.4"/>
    <row r="137" s="5" customFormat="1" x14ac:dyDescent="0.4"/>
    <row r="138" s="5" customFormat="1" x14ac:dyDescent="0.4"/>
    <row r="139" s="5" customFormat="1" x14ac:dyDescent="0.4"/>
    <row r="140" s="5" customFormat="1" x14ac:dyDescent="0.4"/>
    <row r="141" s="5" customFormat="1" x14ac:dyDescent="0.4"/>
    <row r="142" s="5" customFormat="1" x14ac:dyDescent="0.4"/>
    <row r="143" s="5" customFormat="1" x14ac:dyDescent="0.4"/>
    <row r="144" s="5" customFormat="1" x14ac:dyDescent="0.4"/>
    <row r="145" s="5" customFormat="1" x14ac:dyDescent="0.4"/>
    <row r="146" s="5" customFormat="1" x14ac:dyDescent="0.4"/>
    <row r="147" s="5" customFormat="1" x14ac:dyDescent="0.4"/>
    <row r="148" s="5" customFormat="1" x14ac:dyDescent="0.4"/>
    <row r="149" s="5" customFormat="1" x14ac:dyDescent="0.4"/>
    <row r="150" s="5" customFormat="1" x14ac:dyDescent="0.4"/>
    <row r="151" s="5" customFormat="1" x14ac:dyDescent="0.4"/>
    <row r="152" s="5" customFormat="1" x14ac:dyDescent="0.4"/>
    <row r="153" s="5" customFormat="1" x14ac:dyDescent="0.4"/>
    <row r="154" s="5" customFormat="1" x14ac:dyDescent="0.4"/>
    <row r="155" s="5" customFormat="1" x14ac:dyDescent="0.4"/>
    <row r="156" s="5" customFormat="1" x14ac:dyDescent="0.4"/>
    <row r="157" s="5" customFormat="1" x14ac:dyDescent="0.4"/>
    <row r="158" s="5" customFormat="1" x14ac:dyDescent="0.4"/>
    <row r="159" s="5" customFormat="1" x14ac:dyDescent="0.4"/>
    <row r="160" s="5" customFormat="1" x14ac:dyDescent="0.4"/>
    <row r="161" s="5" customFormat="1" x14ac:dyDescent="0.4"/>
    <row r="162" s="5" customFormat="1" x14ac:dyDescent="0.4"/>
    <row r="163" s="5" customFormat="1" x14ac:dyDescent="0.4"/>
    <row r="164" s="5" customFormat="1" x14ac:dyDescent="0.4"/>
    <row r="165" s="5" customFormat="1" x14ac:dyDescent="0.4"/>
    <row r="166" s="5" customFormat="1" x14ac:dyDescent="0.4"/>
    <row r="167" s="5" customFormat="1" x14ac:dyDescent="0.4"/>
    <row r="168" s="5" customFormat="1" x14ac:dyDescent="0.4"/>
    <row r="169" s="5" customFormat="1" x14ac:dyDescent="0.4"/>
    <row r="170" s="5" customFormat="1" x14ac:dyDescent="0.4"/>
    <row r="171" s="5" customFormat="1" x14ac:dyDescent="0.4"/>
    <row r="172" s="5" customFormat="1" x14ac:dyDescent="0.4"/>
    <row r="173" s="5" customFormat="1" x14ac:dyDescent="0.4"/>
    <row r="174" s="5" customFormat="1" x14ac:dyDescent="0.4"/>
    <row r="175" s="5" customFormat="1" x14ac:dyDescent="0.4"/>
    <row r="176" s="5" customFormat="1" x14ac:dyDescent="0.4"/>
    <row r="177" s="5" customFormat="1" x14ac:dyDescent="0.4"/>
    <row r="178" s="5" customFormat="1" x14ac:dyDescent="0.4"/>
    <row r="179" s="5" customFormat="1" x14ac:dyDescent="0.4"/>
    <row r="180" s="5" customFormat="1" x14ac:dyDescent="0.4"/>
    <row r="181" s="5" customFormat="1" x14ac:dyDescent="0.4"/>
    <row r="182" s="5" customFormat="1" x14ac:dyDescent="0.4"/>
    <row r="183" s="5" customFormat="1" x14ac:dyDescent="0.4"/>
    <row r="184" s="5" customFormat="1" x14ac:dyDescent="0.4"/>
    <row r="185" s="5" customFormat="1" x14ac:dyDescent="0.4"/>
    <row r="186" s="5" customFormat="1" x14ac:dyDescent="0.4"/>
    <row r="187" s="5" customFormat="1" x14ac:dyDescent="0.4"/>
    <row r="188" s="5" customFormat="1" x14ac:dyDescent="0.4"/>
    <row r="189" s="5" customFormat="1" x14ac:dyDescent="0.4"/>
    <row r="190" s="5" customFormat="1" x14ac:dyDescent="0.4"/>
    <row r="191" s="5" customFormat="1" x14ac:dyDescent="0.4"/>
    <row r="192" s="5" customFormat="1" x14ac:dyDescent="0.4"/>
    <row r="193" s="5" customFormat="1" x14ac:dyDescent="0.4"/>
    <row r="194" s="5" customFormat="1" x14ac:dyDescent="0.4"/>
    <row r="195" s="5" customFormat="1" x14ac:dyDescent="0.4"/>
    <row r="196" s="5" customFormat="1" x14ac:dyDescent="0.4"/>
    <row r="197" s="5" customFormat="1" x14ac:dyDescent="0.4"/>
    <row r="198" s="5" customFormat="1" x14ac:dyDescent="0.4"/>
    <row r="199" s="5" customFormat="1" x14ac:dyDescent="0.4"/>
    <row r="200" s="5" customFormat="1" x14ac:dyDescent="0.4"/>
    <row r="201" s="5" customFormat="1" x14ac:dyDescent="0.4"/>
    <row r="202" s="5" customFormat="1" x14ac:dyDescent="0.4"/>
    <row r="203" s="5" customFormat="1" x14ac:dyDescent="0.4"/>
    <row r="204" s="5" customFormat="1" x14ac:dyDescent="0.4"/>
    <row r="205" s="5" customFormat="1" x14ac:dyDescent="0.4"/>
    <row r="206" s="5" customFormat="1" x14ac:dyDescent="0.4"/>
    <row r="207" s="5" customFormat="1" x14ac:dyDescent="0.4"/>
    <row r="208" s="5" customFormat="1" x14ac:dyDescent="0.4"/>
    <row r="209" s="5" customFormat="1" x14ac:dyDescent="0.4"/>
    <row r="210" s="5" customFormat="1" x14ac:dyDescent="0.4"/>
    <row r="211" s="5" customFormat="1" x14ac:dyDescent="0.4"/>
    <row r="212" s="5" customFormat="1" x14ac:dyDescent="0.4"/>
    <row r="213" s="5" customFormat="1" x14ac:dyDescent="0.4"/>
    <row r="214" s="5" customFormat="1" x14ac:dyDescent="0.4"/>
    <row r="215" s="5" customFormat="1" x14ac:dyDescent="0.4"/>
    <row r="216" s="5" customFormat="1" x14ac:dyDescent="0.4"/>
    <row r="217" s="5" customFormat="1" x14ac:dyDescent="0.4"/>
    <row r="218" s="5" customFormat="1" x14ac:dyDescent="0.4"/>
    <row r="219" s="5" customFormat="1" x14ac:dyDescent="0.4"/>
    <row r="220" s="5" customFormat="1" x14ac:dyDescent="0.4"/>
    <row r="221" s="5" customFormat="1" x14ac:dyDescent="0.4"/>
    <row r="222" s="5" customFormat="1" x14ac:dyDescent="0.4"/>
    <row r="223" s="5" customFormat="1" x14ac:dyDescent="0.4"/>
    <row r="224" s="5" customFormat="1" x14ac:dyDescent="0.4"/>
    <row r="225" s="5" customFormat="1" x14ac:dyDescent="0.4"/>
    <row r="226" s="5" customFormat="1" x14ac:dyDescent="0.4"/>
    <row r="227" s="5" customFormat="1" x14ac:dyDescent="0.4"/>
    <row r="228" s="5" customFormat="1" x14ac:dyDescent="0.4"/>
    <row r="229" s="5" customFormat="1" x14ac:dyDescent="0.4"/>
    <row r="230" s="5" customFormat="1" x14ac:dyDescent="0.4"/>
    <row r="231" s="5" customFormat="1" x14ac:dyDescent="0.4"/>
    <row r="232" s="5" customFormat="1" x14ac:dyDescent="0.4"/>
    <row r="233" s="5" customFormat="1" x14ac:dyDescent="0.4"/>
    <row r="234" s="5" customFormat="1" x14ac:dyDescent="0.4"/>
    <row r="235" s="5" customFormat="1" x14ac:dyDescent="0.4"/>
    <row r="236" s="5" customFormat="1" x14ac:dyDescent="0.4"/>
    <row r="237" s="5" customFormat="1" x14ac:dyDescent="0.4"/>
    <row r="238" s="5" customFormat="1" x14ac:dyDescent="0.4"/>
    <row r="239" s="5" customFormat="1" x14ac:dyDescent="0.4"/>
    <row r="240" s="5" customFormat="1" x14ac:dyDescent="0.4"/>
    <row r="241" s="5" customFormat="1" x14ac:dyDescent="0.4"/>
    <row r="242" s="5" customFormat="1" x14ac:dyDescent="0.4"/>
    <row r="243" s="5" customFormat="1" x14ac:dyDescent="0.4"/>
    <row r="244" s="5" customFormat="1" x14ac:dyDescent="0.4"/>
    <row r="245" s="5" customFormat="1" x14ac:dyDescent="0.4"/>
    <row r="246" s="5" customFormat="1" x14ac:dyDescent="0.4"/>
    <row r="247" s="5" customFormat="1" x14ac:dyDescent="0.4"/>
    <row r="248" s="5" customFormat="1" x14ac:dyDescent="0.4"/>
    <row r="249" s="5" customFormat="1" x14ac:dyDescent="0.4"/>
    <row r="250" s="5" customFormat="1" x14ac:dyDescent="0.4"/>
    <row r="251" s="5" customFormat="1" x14ac:dyDescent="0.4"/>
    <row r="252" s="5" customFormat="1" x14ac:dyDescent="0.4"/>
    <row r="253" s="5" customFormat="1" x14ac:dyDescent="0.4"/>
    <row r="254" s="5" customFormat="1" x14ac:dyDescent="0.4"/>
    <row r="255" s="5" customFormat="1" x14ac:dyDescent="0.4"/>
    <row r="256" s="5" customFormat="1" x14ac:dyDescent="0.4"/>
    <row r="257" s="5" customFormat="1" x14ac:dyDescent="0.4"/>
    <row r="258" s="5" customFormat="1" x14ac:dyDescent="0.4"/>
    <row r="259" s="5" customFormat="1" x14ac:dyDescent="0.4"/>
    <row r="260" s="5" customFormat="1" x14ac:dyDescent="0.4"/>
    <row r="261" s="5" customFormat="1" x14ac:dyDescent="0.4"/>
    <row r="262" s="5" customFormat="1" x14ac:dyDescent="0.4"/>
    <row r="263" s="5" customFormat="1" x14ac:dyDescent="0.4"/>
    <row r="264" s="5" customFormat="1" x14ac:dyDescent="0.4"/>
    <row r="265" s="5" customFormat="1" x14ac:dyDescent="0.4"/>
    <row r="266" s="5" customFormat="1" x14ac:dyDescent="0.4"/>
    <row r="267" s="5" customFormat="1" x14ac:dyDescent="0.4"/>
    <row r="268" s="5" customFormat="1" x14ac:dyDescent="0.4"/>
    <row r="269" s="5" customFormat="1" x14ac:dyDescent="0.4"/>
    <row r="270" s="5" customFormat="1" x14ac:dyDescent="0.4"/>
    <row r="271" s="5" customFormat="1" x14ac:dyDescent="0.4"/>
    <row r="272" s="5" customFormat="1" x14ac:dyDescent="0.4"/>
    <row r="273" s="5" customFormat="1" x14ac:dyDescent="0.4"/>
    <row r="274" s="5" customFormat="1" x14ac:dyDescent="0.4"/>
    <row r="275" s="5" customFormat="1" x14ac:dyDescent="0.4"/>
    <row r="276" s="5" customFormat="1" x14ac:dyDescent="0.4"/>
    <row r="277" s="5" customFormat="1" x14ac:dyDescent="0.4"/>
    <row r="278" s="5" customFormat="1" x14ac:dyDescent="0.4"/>
    <row r="279" s="5" customFormat="1" x14ac:dyDescent="0.4"/>
    <row r="280" s="5" customFormat="1" x14ac:dyDescent="0.4"/>
    <row r="281" s="5" customFormat="1" x14ac:dyDescent="0.4"/>
    <row r="282" s="5" customFormat="1" x14ac:dyDescent="0.4"/>
    <row r="283" s="5" customFormat="1" x14ac:dyDescent="0.4"/>
    <row r="284" s="5" customFormat="1" x14ac:dyDescent="0.4"/>
    <row r="285" s="5" customFormat="1" x14ac:dyDescent="0.4"/>
    <row r="286" s="5" customFormat="1" x14ac:dyDescent="0.4"/>
    <row r="287" s="5" customFormat="1" x14ac:dyDescent="0.4"/>
    <row r="288" s="5" customFormat="1" x14ac:dyDescent="0.4"/>
    <row r="289" s="5" customFormat="1" x14ac:dyDescent="0.4"/>
    <row r="290" s="5" customFormat="1" x14ac:dyDescent="0.4"/>
    <row r="291" s="5" customFormat="1" x14ac:dyDescent="0.4"/>
    <row r="292" s="5" customFormat="1" x14ac:dyDescent="0.4"/>
    <row r="293" s="5" customFormat="1" x14ac:dyDescent="0.4"/>
    <row r="294" s="5" customFormat="1" x14ac:dyDescent="0.4"/>
    <row r="295" s="5" customFormat="1" x14ac:dyDescent="0.4"/>
    <row r="296" s="5" customFormat="1" x14ac:dyDescent="0.4"/>
    <row r="297" s="5" customFormat="1" x14ac:dyDescent="0.4"/>
    <row r="298" s="5" customFormat="1" x14ac:dyDescent="0.4"/>
    <row r="299" s="5" customFormat="1" x14ac:dyDescent="0.4"/>
    <row r="300" s="5" customFormat="1" x14ac:dyDescent="0.4"/>
    <row r="301" s="5" customFormat="1" x14ac:dyDescent="0.4"/>
    <row r="302" s="5" customFormat="1" x14ac:dyDescent="0.4"/>
    <row r="303" s="5" customFormat="1" x14ac:dyDescent="0.4"/>
    <row r="304" s="5" customFormat="1" x14ac:dyDescent="0.4"/>
    <row r="305" s="5" customFormat="1" x14ac:dyDescent="0.4"/>
    <row r="306" s="5" customFormat="1" x14ac:dyDescent="0.4"/>
    <row r="307" s="5" customFormat="1" x14ac:dyDescent="0.4"/>
    <row r="308" s="5" customFormat="1" x14ac:dyDescent="0.4"/>
    <row r="309" s="5" customFormat="1" x14ac:dyDescent="0.4"/>
    <row r="310" s="5" customFormat="1" x14ac:dyDescent="0.4"/>
    <row r="311" s="5" customFormat="1" x14ac:dyDescent="0.4"/>
    <row r="312" s="5" customFormat="1" x14ac:dyDescent="0.4"/>
    <row r="313" s="5" customFormat="1" x14ac:dyDescent="0.4"/>
    <row r="314" s="5" customFormat="1" x14ac:dyDescent="0.4"/>
    <row r="315" s="5" customFormat="1" x14ac:dyDescent="0.4"/>
    <row r="316" s="5" customFormat="1" x14ac:dyDescent="0.4"/>
    <row r="317" s="5" customFormat="1" x14ac:dyDescent="0.4"/>
    <row r="318" s="5" customFormat="1" x14ac:dyDescent="0.4"/>
    <row r="319" s="5" customFormat="1" x14ac:dyDescent="0.4"/>
    <row r="320" s="5" customFormat="1" x14ac:dyDescent="0.4"/>
    <row r="321" s="5" customFormat="1" x14ac:dyDescent="0.4"/>
    <row r="322" s="5" customFormat="1" x14ac:dyDescent="0.4"/>
    <row r="323" s="5" customFormat="1" x14ac:dyDescent="0.4"/>
    <row r="324" s="5" customFormat="1" x14ac:dyDescent="0.4"/>
    <row r="325" s="5" customFormat="1" x14ac:dyDescent="0.4"/>
    <row r="326" s="5" customFormat="1" x14ac:dyDescent="0.4"/>
    <row r="327" s="5" customFormat="1" x14ac:dyDescent="0.4"/>
    <row r="328" s="5" customFormat="1" x14ac:dyDescent="0.4"/>
    <row r="329" s="5" customFormat="1" x14ac:dyDescent="0.4"/>
    <row r="330" s="5" customFormat="1" x14ac:dyDescent="0.4"/>
    <row r="331" s="5" customFormat="1" x14ac:dyDescent="0.4"/>
    <row r="332" s="5" customFormat="1" x14ac:dyDescent="0.4"/>
    <row r="333" s="5" customFormat="1" x14ac:dyDescent="0.4"/>
    <row r="334" s="5" customFormat="1" x14ac:dyDescent="0.4"/>
    <row r="335" s="5" customFormat="1" x14ac:dyDescent="0.4"/>
    <row r="336" s="5" customFormat="1" x14ac:dyDescent="0.4"/>
    <row r="337" s="5" customFormat="1" x14ac:dyDescent="0.4"/>
    <row r="338" s="5" customFormat="1" x14ac:dyDescent="0.4"/>
    <row r="339" s="5" customFormat="1" x14ac:dyDescent="0.4"/>
    <row r="340" s="5" customFormat="1" x14ac:dyDescent="0.4"/>
    <row r="341" s="5" customFormat="1" x14ac:dyDescent="0.4"/>
    <row r="342" s="5" customFormat="1" x14ac:dyDescent="0.4"/>
    <row r="343" s="5" customFormat="1" x14ac:dyDescent="0.4"/>
    <row r="344" s="5" customFormat="1" x14ac:dyDescent="0.4"/>
    <row r="345" s="5" customFormat="1" x14ac:dyDescent="0.4"/>
    <row r="346" s="5" customFormat="1" x14ac:dyDescent="0.4"/>
    <row r="347" s="5" customFormat="1" x14ac:dyDescent="0.4"/>
    <row r="348" s="5" customFormat="1" x14ac:dyDescent="0.4"/>
    <row r="349" s="5" customFormat="1" x14ac:dyDescent="0.4"/>
    <row r="350" s="5" customFormat="1" x14ac:dyDescent="0.4"/>
    <row r="351" s="5" customFormat="1" x14ac:dyDescent="0.4"/>
    <row r="352" s="5" customFormat="1" x14ac:dyDescent="0.4"/>
    <row r="353" s="5" customFormat="1" x14ac:dyDescent="0.4"/>
    <row r="354" s="5" customFormat="1" x14ac:dyDescent="0.4"/>
    <row r="355" s="5" customFormat="1" x14ac:dyDescent="0.4"/>
    <row r="356" s="5" customFormat="1" x14ac:dyDescent="0.4"/>
    <row r="357" s="5" customFormat="1" x14ac:dyDescent="0.4"/>
    <row r="358" s="5" customFormat="1" x14ac:dyDescent="0.4"/>
    <row r="359" s="5" customFormat="1" x14ac:dyDescent="0.4"/>
    <row r="360" s="5" customFormat="1" x14ac:dyDescent="0.4"/>
    <row r="361" s="5" customFormat="1" x14ac:dyDescent="0.4"/>
    <row r="362" s="5" customFormat="1" x14ac:dyDescent="0.4"/>
    <row r="363" s="5" customFormat="1" x14ac:dyDescent="0.4"/>
    <row r="364" s="5" customFormat="1" x14ac:dyDescent="0.4"/>
    <row r="365" s="5" customFormat="1" x14ac:dyDescent="0.4"/>
    <row r="366" s="5" customFormat="1" x14ac:dyDescent="0.4"/>
    <row r="367" s="5" customFormat="1" x14ac:dyDescent="0.4"/>
    <row r="368" s="5" customFormat="1" x14ac:dyDescent="0.4"/>
    <row r="369" s="5" customFormat="1" x14ac:dyDescent="0.4"/>
    <row r="370" s="5" customFormat="1" x14ac:dyDescent="0.4"/>
    <row r="371" s="5" customFormat="1" x14ac:dyDescent="0.4"/>
    <row r="372" s="5" customFormat="1" x14ac:dyDescent="0.4"/>
    <row r="373" s="5" customFormat="1" x14ac:dyDescent="0.4"/>
    <row r="374" s="5" customFormat="1" x14ac:dyDescent="0.4"/>
    <row r="375" s="5" customFormat="1" x14ac:dyDescent="0.4"/>
    <row r="376" s="5" customFormat="1" x14ac:dyDescent="0.4"/>
    <row r="377" s="5" customFormat="1" x14ac:dyDescent="0.4"/>
    <row r="378" s="5" customFormat="1" x14ac:dyDescent="0.4"/>
    <row r="379" s="5" customFormat="1" x14ac:dyDescent="0.4"/>
    <row r="380" s="5" customFormat="1" x14ac:dyDescent="0.4"/>
    <row r="381" s="5" customFormat="1" x14ac:dyDescent="0.4"/>
    <row r="382" s="5" customFormat="1" x14ac:dyDescent="0.4"/>
    <row r="383" s="5" customFormat="1" x14ac:dyDescent="0.4"/>
    <row r="384" s="5" customFormat="1" x14ac:dyDescent="0.4"/>
    <row r="385" s="5" customFormat="1" x14ac:dyDescent="0.4"/>
    <row r="386" s="5" customFormat="1" x14ac:dyDescent="0.4"/>
    <row r="387" s="5" customFormat="1" x14ac:dyDescent="0.4"/>
    <row r="388" s="5" customFormat="1" x14ac:dyDescent="0.4"/>
    <row r="389" s="5" customFormat="1" x14ac:dyDescent="0.4"/>
    <row r="390" s="5" customFormat="1" x14ac:dyDescent="0.4"/>
    <row r="391" s="5" customFormat="1" x14ac:dyDescent="0.4"/>
    <row r="392" s="5" customFormat="1" x14ac:dyDescent="0.4"/>
    <row r="393" s="5" customFormat="1" x14ac:dyDescent="0.4"/>
    <row r="394" s="5" customFormat="1" x14ac:dyDescent="0.4"/>
    <row r="395" s="5" customFormat="1" x14ac:dyDescent="0.4"/>
    <row r="396" s="5" customFormat="1" x14ac:dyDescent="0.4"/>
    <row r="397" s="5" customFormat="1" x14ac:dyDescent="0.4"/>
    <row r="398" s="5" customFormat="1" x14ac:dyDescent="0.4"/>
    <row r="399" s="5" customFormat="1" x14ac:dyDescent="0.4"/>
    <row r="400" s="5" customFormat="1" x14ac:dyDescent="0.4"/>
    <row r="401" s="5" customFormat="1" x14ac:dyDescent="0.4"/>
    <row r="402" s="5" customFormat="1" x14ac:dyDescent="0.4"/>
    <row r="403" s="5" customFormat="1" x14ac:dyDescent="0.4"/>
    <row r="404" s="5" customFormat="1" x14ac:dyDescent="0.4"/>
    <row r="405" s="5" customFormat="1" x14ac:dyDescent="0.4"/>
    <row r="406" s="5" customFormat="1" x14ac:dyDescent="0.4"/>
    <row r="407" s="5" customFormat="1" x14ac:dyDescent="0.4"/>
    <row r="408" s="5" customFormat="1" x14ac:dyDescent="0.4"/>
    <row r="409" s="5" customFormat="1" x14ac:dyDescent="0.4"/>
    <row r="410" s="5" customFormat="1" x14ac:dyDescent="0.4"/>
    <row r="411" s="5" customFormat="1" x14ac:dyDescent="0.4"/>
    <row r="412" s="5" customFormat="1" x14ac:dyDescent="0.4"/>
    <row r="413" s="5" customFormat="1" x14ac:dyDescent="0.4"/>
    <row r="414" s="5" customFormat="1" x14ac:dyDescent="0.4"/>
    <row r="415" s="5" customFormat="1" x14ac:dyDescent="0.4"/>
    <row r="416" s="5" customFormat="1" x14ac:dyDescent="0.4"/>
    <row r="417" s="5" customFormat="1" x14ac:dyDescent="0.4"/>
    <row r="418" s="5" customFormat="1" x14ac:dyDescent="0.4"/>
    <row r="419" s="5" customFormat="1" x14ac:dyDescent="0.4"/>
    <row r="420" s="5" customFormat="1" x14ac:dyDescent="0.4"/>
    <row r="421" s="5" customFormat="1" x14ac:dyDescent="0.4"/>
    <row r="422" s="5" customFormat="1" x14ac:dyDescent="0.4"/>
    <row r="423" s="5" customFormat="1" x14ac:dyDescent="0.4"/>
    <row r="424" s="5" customFormat="1" x14ac:dyDescent="0.4"/>
    <row r="425" s="5" customFormat="1" x14ac:dyDescent="0.4"/>
    <row r="426" s="5" customFormat="1" x14ac:dyDescent="0.4"/>
    <row r="427" s="5" customFormat="1" x14ac:dyDescent="0.4"/>
    <row r="428" s="5" customFormat="1" x14ac:dyDescent="0.4"/>
    <row r="429" s="5" customFormat="1" x14ac:dyDescent="0.4"/>
    <row r="430" s="5" customFormat="1" x14ac:dyDescent="0.4"/>
    <row r="431" s="5" customFormat="1" x14ac:dyDescent="0.4"/>
    <row r="432" s="5" customFormat="1" x14ac:dyDescent="0.4"/>
    <row r="433" s="5" customFormat="1" x14ac:dyDescent="0.4"/>
    <row r="434" s="5" customFormat="1" x14ac:dyDescent="0.4"/>
    <row r="435" s="5" customFormat="1" x14ac:dyDescent="0.4"/>
    <row r="436" s="5" customFormat="1" x14ac:dyDescent="0.4"/>
    <row r="437" s="5" customFormat="1" x14ac:dyDescent="0.4"/>
    <row r="438" s="5" customFormat="1" x14ac:dyDescent="0.4"/>
    <row r="439" s="5" customFormat="1" x14ac:dyDescent="0.4"/>
    <row r="440" s="5" customFormat="1" x14ac:dyDescent="0.4"/>
    <row r="441" s="5" customFormat="1" x14ac:dyDescent="0.4"/>
    <row r="442" s="5" customFormat="1" x14ac:dyDescent="0.4"/>
    <row r="443" s="5" customFormat="1" x14ac:dyDescent="0.4"/>
    <row r="444" s="5" customFormat="1" x14ac:dyDescent="0.4"/>
    <row r="445" s="5" customFormat="1" x14ac:dyDescent="0.4"/>
    <row r="446" s="5" customFormat="1" x14ac:dyDescent="0.4"/>
  </sheetData>
  <mergeCells count="32">
    <mergeCell ref="F9:G9"/>
    <mergeCell ref="C8:D8"/>
    <mergeCell ref="C4:D5"/>
    <mergeCell ref="C7:D7"/>
    <mergeCell ref="E18:F18"/>
    <mergeCell ref="F7:G7"/>
    <mergeCell ref="C10:D10"/>
    <mergeCell ref="C16:D16"/>
    <mergeCell ref="C18:D18"/>
    <mergeCell ref="C9:D9"/>
    <mergeCell ref="F8:G8"/>
    <mergeCell ref="C12:D12"/>
    <mergeCell ref="C11:D11"/>
    <mergeCell ref="C17:D17"/>
    <mergeCell ref="E17:F17"/>
    <mergeCell ref="F10:G10"/>
    <mergeCell ref="C15:D15"/>
    <mergeCell ref="C24:G24"/>
    <mergeCell ref="C19:D19"/>
    <mergeCell ref="C21:G21"/>
    <mergeCell ref="B32:G32"/>
    <mergeCell ref="E20:F20"/>
    <mergeCell ref="C27:G27"/>
    <mergeCell ref="E19:F19"/>
    <mergeCell ref="C28:G28"/>
    <mergeCell ref="B30:D30"/>
    <mergeCell ref="B29:D29"/>
    <mergeCell ref="C26:G26"/>
    <mergeCell ref="C22:D22"/>
    <mergeCell ref="C20:D20"/>
    <mergeCell ref="C23:G23"/>
    <mergeCell ref="C25:G25"/>
  </mergeCells>
  <phoneticPr fontId="1" type="noConversion"/>
  <pageMargins left="0.75" right="0.75" top="1" bottom="1" header="0.5" footer="0.5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sale_order</vt:lpstr>
      <vt:lpstr>sale_order!Print_Area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Gentrice</cp:lastModifiedBy>
  <cp:lastPrinted>2014-12-04T07:48:54Z</cp:lastPrinted>
  <dcterms:created xsi:type="dcterms:W3CDTF">1999-12-09T02:36:51Z</dcterms:created>
  <dcterms:modified xsi:type="dcterms:W3CDTF">2025-04-09T10:18:57Z</dcterms:modified>
</cp:coreProperties>
</file>