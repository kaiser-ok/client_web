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D97C3D39-4F85-4850-B00E-4C972F79A10F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9" i="1" s="1"/>
  <c r="G17" i="1"/>
  <c r="G18" i="1" l="1"/>
  <c r="G20" i="1" s="1"/>
  <c r="G21" i="1" s="1"/>
</calcChain>
</file>

<file path=xl/sharedStrings.xml><?xml version="1.0" encoding="utf-8"?>
<sst xmlns="http://schemas.openxmlformats.org/spreadsheetml/2006/main" count="53" uniqueCount="53">
  <si>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</si>
  <si>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</si>
  <si>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</si>
  <si>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</si>
  <si>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</si>
  <si>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</si>
  <si>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</si>
  <si>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</si>
  <si>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游子興</t>
  </si>
  <si>
    <t>聯 絡 人  ：</t>
  </si>
  <si>
    <t>聯 絡 電 話：</t>
  </si>
  <si>
    <t>(02)3366-5008</t>
  </si>
  <si>
    <t>電      話  ：</t>
  </si>
  <si>
    <t>(02)8226-9200#101</t>
  </si>
  <si>
    <t>公 司 電 話：</t>
  </si>
  <si>
    <t>傳      真  ：</t>
  </si>
  <si>
    <t>E-Mail：</t>
  </si>
  <si>
    <t xml:space="preserve">  E-Mail   ：</t>
  </si>
  <si>
    <t>joanna@gentrice.net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</si>
  <si>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</si>
  <si>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</si>
  <si>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</si>
  <si>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</si>
  <si>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</si>
  <si>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</si>
  <si>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</si>
  <si>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</si>
  <si>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</si>
  <si>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註：</t>
  </si>
  <si>
    <t>保固條件：</t>
  </si>
  <si>
    <t>一年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</si>
  <si>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</si>
  <si>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</si>
  <si>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</si>
  <si>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</si>
  <si>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</si>
  <si>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</si>
  <si>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</si>
  <si>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</si>
  <si>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</si>
  <si>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Joanna</t>
    <phoneticPr fontId="1" type="noConversion"/>
  </si>
  <si>
    <t>(02)8226-9211</t>
    <phoneticPr fontId="1" type="noConversion"/>
  </si>
  <si>
    <t>國立台灣大學計資中心網路組</t>
    <phoneticPr fontId="1" type="noConversion"/>
  </si>
  <si>
    <t>davisyou@ntu.edu.tw</t>
    <phoneticPr fontId="1" type="noConversion"/>
  </si>
  <si>
    <t>採購 MikroTik 設備</t>
    <phoneticPr fontId="1" type="noConversion"/>
  </si>
  <si>
    <t>CRS326-24G-2S+RM</t>
    <phoneticPr fontId="1" type="noConversion"/>
  </si>
  <si>
    <t>20251110-01</t>
    <phoneticPr fontId="1" type="noConversion"/>
  </si>
  <si>
    <t>E60iUGS(hEX S)</t>
    <phoneticPr fontId="1" type="noConversion"/>
  </si>
  <si>
    <t>CRS326-24G-2S+RM
800MHz CPU,512MB RAM
24個 10/100/1000以乙太網路連接埠
2個 SFP+連接埠
RouterOS L5或SwitchOS（雙啟動）
1U機架安裝
標準電源單元（PSU）</t>
    <phoneticPr fontId="1" type="noConversion"/>
  </si>
  <si>
    <t>E60iUGS(hEX S)
hEX S (2025 version) with RouterOS L4, desktop case (US)</t>
    <phoneticPr fontId="1" type="noConversion"/>
  </si>
  <si>
    <t>SUB TOTAL：</t>
    <phoneticPr fontId="1" type="noConversion"/>
  </si>
  <si>
    <t>Joanna 114/11/10</t>
    <phoneticPr fontId="1" type="noConversion"/>
  </si>
  <si>
    <t>2. 此次提供的價格為年底清倉優惠，優惠有效期限至 2025 年 11 月 23 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</si>
</sst>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18"/>
      <name val="新細明體"/>
      <family val="1"/>
      <charset val="136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72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38" fontId="17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right" vertical="center" wrapText="1"/>
    </xf>
    <xf numFmtId="3" fontId="4" fillId="0" borderId="3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38" fontId="17" fillId="0" borderId="3" xfId="1" applyNumberFormat="1" applyFont="1" applyBorder="1" applyAlignment="1">
      <alignment horizontal="center" vertical="center"/>
    </xf>
    <xf numFmtId="0" fontId="3" fillId="0" borderId="0" xfId="0" applyFont="1"/>
    <xf numFmtId="0" fontId="0" fillId="0" borderId="0" xfId="0"/>
    <xf numFmtId="49" fontId="4" fillId="0" borderId="3" xfId="1" applyNumberFormat="1" applyFont="1" applyBorder="1" applyAlignment="1">
      <alignment horizontal="left" wrapText="1"/>
    </xf>
    <xf numFmtId="0" fontId="0" fillId="0" borderId="7" xfId="0" applyBorder="1"/>
    <xf numFmtId="38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wrapText="1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49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9" fontId="4" fillId="0" borderId="3" xfId="15" applyNumberFormat="1" applyFont="1" applyBorder="1" applyAlignment="1">
      <alignment horizontal="left" vertical="center" wrapText="1"/>
    </xf>
    <xf numFmtId="38" fontId="17" fillId="0" borderId="3" xfId="1" applyNumberFormat="1" applyFont="1" applyBorder="1" applyAlignment="1">
      <alignment horizontal="right" wrapText="1"/>
    </xf>
    <xf numFmtId="0" fontId="10" fillId="0" borderId="0" xfId="2" applyFont="1" applyAlignment="1" applyProtection="1">
      <alignment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176" fontId="6" fillId="2" borderId="3" xfId="1" applyNumberFormat="1" applyFont="1" applyFill="1" applyBorder="1" applyAlignment="1">
      <alignment horizontal="left" wrapText="1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49" fontId="4" fillId="0" borderId="3" xfId="1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/>
    </xf>
    <xf numFmtId="38" fontId="17" fillId="0" borderId="8" xfId="1" applyNumberFormat="1" applyFont="1" applyBorder="1" applyAlignment="1">
      <alignment horizontal="left" vertical="center" wrapText="1"/>
    </xf>
    <xf numFmtId="38" fontId="17" fillId="0" borderId="7" xfId="1" applyNumberFormat="1" applyFont="1" applyBorder="1" applyAlignment="1">
      <alignment horizontal="left" vertical="center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570018</xdr:colOff>
      <xdr:row>22</xdr:row>
      <xdr:rowOff>616273</xdr:rowOff>
    </xdr:from>
    <xdr:to>
      <xdr:col>6</xdr:col>
      <xdr:colOff>607218</xdr:colOff>
      <xdr:row>27</xdr:row>
      <xdr:rowOff>346991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268" y="9141148"/>
          <a:ext cx="2585138" cy="20186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na@gentric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9"/>
  <sheetViews>
    <sheetView tabSelected="1" view="pageBreakPreview" zoomScale="55" zoomScaleNormal="80" zoomScaleSheetLayoutView="55" workbookViewId="0">
      <selection activeCell="M24" sqref="M24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61" t="s">
        <v>1</v>
      </c>
      <c r="D4" s="43"/>
      <c r="E4" s="18" t="s">
        <v>2</v>
      </c>
      <c r="G4" s="19"/>
    </row>
    <row r="5" spans="1:13" ht="21.95" customHeight="1" x14ac:dyDescent="0.3">
      <c r="A5" s="2"/>
      <c r="B5" s="1"/>
      <c r="C5" s="43"/>
      <c r="D5" s="62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63" t="s">
        <v>42</v>
      </c>
      <c r="D7" s="64"/>
      <c r="E7" s="22" t="s">
        <v>6</v>
      </c>
      <c r="F7" s="68" t="s">
        <v>46</v>
      </c>
      <c r="G7" s="51"/>
    </row>
    <row r="8" spans="1:13" s="4" customFormat="1" ht="29.25" customHeight="1" x14ac:dyDescent="0.4">
      <c r="A8" s="7"/>
      <c r="B8" s="23" t="s">
        <v>7</v>
      </c>
      <c r="C8" s="50" t="s">
        <v>8</v>
      </c>
      <c r="D8" s="51"/>
      <c r="E8" s="25" t="s">
        <v>9</v>
      </c>
      <c r="F8" s="69" t="s">
        <v>40</v>
      </c>
      <c r="G8" s="51"/>
    </row>
    <row r="9" spans="1:13" s="4" customFormat="1" ht="27.75" customHeight="1" x14ac:dyDescent="0.4">
      <c r="A9" s="8"/>
      <c r="B9" s="23" t="s">
        <v>10</v>
      </c>
      <c r="C9" s="50" t="s">
        <v>11</v>
      </c>
      <c r="D9" s="51"/>
      <c r="E9" s="22" t="s">
        <v>12</v>
      </c>
      <c r="F9" s="69" t="s">
        <v>13</v>
      </c>
      <c r="G9" s="51"/>
    </row>
    <row r="10" spans="1:13" s="4" customFormat="1" ht="27.6" customHeight="1" x14ac:dyDescent="0.4">
      <c r="A10" s="8"/>
      <c r="B10" s="23" t="s">
        <v>14</v>
      </c>
      <c r="C10" s="50"/>
      <c r="D10" s="51"/>
      <c r="E10" s="22" t="s">
        <v>15</v>
      </c>
      <c r="F10" s="69" t="s">
        <v>41</v>
      </c>
      <c r="G10" s="51"/>
    </row>
    <row r="11" spans="1:13" s="4" customFormat="1" ht="27.75" customHeight="1" x14ac:dyDescent="0.4">
      <c r="A11" s="8"/>
      <c r="B11" s="27" t="s">
        <v>16</v>
      </c>
      <c r="C11" s="50" t="s">
        <v>43</v>
      </c>
      <c r="D11" s="51"/>
      <c r="E11" s="22" t="s">
        <v>17</v>
      </c>
      <c r="F11" s="28" t="s">
        <v>18</v>
      </c>
      <c r="G11" s="17"/>
    </row>
    <row r="12" spans="1:13" s="4" customFormat="1" ht="33" customHeight="1" x14ac:dyDescent="0.45">
      <c r="A12" s="8"/>
      <c r="B12" s="27"/>
      <c r="C12" s="57"/>
      <c r="D12" s="51"/>
      <c r="E12" s="12"/>
      <c r="F12" s="8"/>
      <c r="G12" s="8"/>
    </row>
    <row r="13" spans="1:13" s="4" customFormat="1" ht="27" customHeight="1" x14ac:dyDescent="0.4">
      <c r="A13" s="8"/>
      <c r="B13" s="27" t="s">
        <v>19</v>
      </c>
      <c r="C13" s="24" t="s">
        <v>44</v>
      </c>
      <c r="D13" s="12"/>
      <c r="E13" s="12"/>
      <c r="F13" s="8"/>
      <c r="G13" s="26"/>
      <c r="M13" s="12"/>
    </row>
    <row r="14" spans="1:13" ht="33.950000000000003" customHeight="1" x14ac:dyDescent="0.45">
      <c r="A14" s="29" t="s">
        <v>20</v>
      </c>
      <c r="B14" s="30"/>
      <c r="C14" s="30"/>
      <c r="F14" s="26" t="s">
        <v>21</v>
      </c>
    </row>
    <row r="15" spans="1:13" s="4" customFormat="1" ht="39.75" customHeight="1" x14ac:dyDescent="0.4">
      <c r="A15" s="13" t="s">
        <v>22</v>
      </c>
      <c r="B15" s="14" t="s">
        <v>23</v>
      </c>
      <c r="C15" s="60" t="s">
        <v>24</v>
      </c>
      <c r="D15" s="45"/>
      <c r="E15" s="15" t="s">
        <v>25</v>
      </c>
      <c r="F15" s="16" t="s">
        <v>26</v>
      </c>
      <c r="G15" s="16" t="s">
        <v>27</v>
      </c>
    </row>
    <row r="16" spans="1:13" s="4" customFormat="1" ht="174" customHeight="1" x14ac:dyDescent="0.4">
      <c r="A16" s="41">
        <v>1</v>
      </c>
      <c r="B16" s="41" t="s">
        <v>45</v>
      </c>
      <c r="C16" s="70" t="s">
        <v>48</v>
      </c>
      <c r="D16" s="71"/>
      <c r="E16" s="33">
        <v>5100</v>
      </c>
      <c r="F16" s="34">
        <v>4</v>
      </c>
      <c r="G16" s="31">
        <f t="shared" ref="G16:G17" si="0">IF(ISBLANK(E16),"",SUM(E16*F16))</f>
        <v>20400</v>
      </c>
    </row>
    <row r="17" spans="1:7" ht="113.25" customHeight="1" x14ac:dyDescent="0.25">
      <c r="A17" s="41">
        <v>2</v>
      </c>
      <c r="B17" s="32" t="s">
        <v>47</v>
      </c>
      <c r="C17" s="55" t="s">
        <v>49</v>
      </c>
      <c r="D17" s="45"/>
      <c r="E17" s="33">
        <v>1700</v>
      </c>
      <c r="F17" s="34">
        <v>4</v>
      </c>
      <c r="G17" s="31">
        <f t="shared" si="0"/>
        <v>6800</v>
      </c>
    </row>
    <row r="18" spans="1:7" ht="27.75" customHeight="1" x14ac:dyDescent="0.3">
      <c r="A18" s="35"/>
      <c r="B18" s="36"/>
      <c r="C18" s="67"/>
      <c r="D18" s="45"/>
      <c r="E18" s="56" t="s">
        <v>50</v>
      </c>
      <c r="F18" s="45"/>
      <c r="G18" s="37">
        <f>SUM(G16:G17)</f>
        <v>27200</v>
      </c>
    </row>
    <row r="19" spans="1:7" ht="27.75" customHeight="1" x14ac:dyDescent="0.3">
      <c r="A19" s="38" t="s">
        <v>28</v>
      </c>
      <c r="B19" s="38" t="s">
        <v>29</v>
      </c>
      <c r="C19" s="44" t="s">
        <v>30</v>
      </c>
      <c r="D19" s="45"/>
      <c r="E19" s="56" t="s">
        <v>31</v>
      </c>
      <c r="F19" s="45"/>
      <c r="G19" s="37">
        <f>SUM(G16:G17)</f>
        <v>27200</v>
      </c>
    </row>
    <row r="20" spans="1:7" ht="29.25" customHeight="1" x14ac:dyDescent="0.3">
      <c r="A20" s="35"/>
      <c r="B20" s="38" t="s">
        <v>32</v>
      </c>
      <c r="C20" s="44" t="s">
        <v>33</v>
      </c>
      <c r="D20" s="45"/>
      <c r="E20" s="46" t="s">
        <v>34</v>
      </c>
      <c r="F20" s="45"/>
      <c r="G20" s="37">
        <f>SUM(G18*1.05)-G18</f>
        <v>1360</v>
      </c>
    </row>
    <row r="21" spans="1:7" ht="26.25" customHeight="1" x14ac:dyDescent="0.3">
      <c r="A21" s="35"/>
      <c r="B21" s="38"/>
      <c r="C21" s="44"/>
      <c r="D21" s="45"/>
      <c r="E21" s="46" t="s">
        <v>35</v>
      </c>
      <c r="F21" s="45"/>
      <c r="G21" s="37">
        <f>SUM(G19:G20)</f>
        <v>28560</v>
      </c>
    </row>
    <row r="22" spans="1:7" ht="26.25" customHeight="1" x14ac:dyDescent="0.3">
      <c r="A22" s="3"/>
      <c r="B22" s="39" t="s">
        <v>36</v>
      </c>
      <c r="C22" s="65" t="s">
        <v>37</v>
      </c>
      <c r="D22" s="66"/>
      <c r="E22" s="66"/>
      <c r="F22" s="66"/>
      <c r="G22" s="66"/>
    </row>
    <row r="23" spans="1:7" ht="52.5" customHeight="1" x14ac:dyDescent="0.4">
      <c r="A23" s="3"/>
      <c r="B23" s="4"/>
      <c r="C23" s="47" t="s">
        <v>52</v>
      </c>
      <c r="D23" s="47"/>
      <c r="E23" s="47"/>
      <c r="F23" s="47"/>
      <c r="G23" s="47"/>
    </row>
    <row r="24" spans="1:7" ht="31.5" customHeight="1" x14ac:dyDescent="0.4">
      <c r="A24" s="3"/>
      <c r="B24" s="4"/>
      <c r="C24" s="53"/>
      <c r="D24" s="43"/>
      <c r="E24" s="43"/>
      <c r="F24" s="43"/>
      <c r="G24" s="43"/>
    </row>
    <row r="25" spans="1:7" ht="31.5" customHeight="1" x14ac:dyDescent="0.4">
      <c r="A25" s="3"/>
      <c r="B25" s="4"/>
      <c r="C25" s="53"/>
      <c r="D25" s="43"/>
      <c r="E25" s="40"/>
      <c r="F25" s="40"/>
      <c r="G25" s="40"/>
    </row>
    <row r="26" spans="1:7" ht="31.5" customHeight="1" x14ac:dyDescent="0.4">
      <c r="A26" s="3"/>
      <c r="B26" s="4"/>
      <c r="C26" s="53"/>
      <c r="D26" s="43"/>
      <c r="E26"/>
    </row>
    <row r="27" spans="1:7" ht="31.5" customHeight="1" x14ac:dyDescent="0.4">
      <c r="A27" s="3"/>
      <c r="B27" s="4"/>
      <c r="C27" s="53"/>
      <c r="D27" s="43"/>
      <c r="E27" s="43"/>
      <c r="F27" s="43"/>
      <c r="G27" s="43"/>
    </row>
    <row r="28" spans="1:7" ht="31.5" customHeight="1" x14ac:dyDescent="0.4">
      <c r="A28" s="3"/>
      <c r="B28" s="4"/>
      <c r="C28" s="53"/>
      <c r="D28" s="43"/>
      <c r="E28" s="43"/>
      <c r="F28" s="43"/>
      <c r="G28" s="43"/>
    </row>
    <row r="29" spans="1:7" ht="31.5" customHeight="1" x14ac:dyDescent="0.4">
      <c r="A29" s="3"/>
      <c r="B29" s="4"/>
      <c r="C29" s="2"/>
      <c r="D29"/>
      <c r="E29" s="54" t="s">
        <v>51</v>
      </c>
      <c r="F29" s="54"/>
      <c r="G29" s="54"/>
    </row>
    <row r="30" spans="1:7" ht="31.5" customHeight="1" x14ac:dyDescent="0.4">
      <c r="A30" s="3"/>
      <c r="B30" s="4"/>
      <c r="C30" s="42"/>
      <c r="D30" s="43"/>
      <c r="E30" s="43"/>
      <c r="F30" s="43"/>
      <c r="G30" s="43"/>
    </row>
    <row r="31" spans="1:7" ht="31.5" customHeight="1" x14ac:dyDescent="0.4">
      <c r="A31" s="3"/>
      <c r="B31" s="4"/>
      <c r="C31" s="42"/>
      <c r="D31" s="43"/>
      <c r="E31" s="43"/>
      <c r="F31" s="43"/>
      <c r="G31" s="43"/>
    </row>
    <row r="32" spans="1:7" s="2" customFormat="1" ht="27.75" customHeight="1" thickBot="1" x14ac:dyDescent="0.35">
      <c r="A32" s="10"/>
      <c r="B32" s="58" t="s">
        <v>38</v>
      </c>
      <c r="C32" s="59"/>
      <c r="D32" s="59"/>
    </row>
    <row r="33" spans="2:7" s="2" customFormat="1" ht="33" customHeight="1" x14ac:dyDescent="0.3">
      <c r="B33" s="48" t="s">
        <v>39</v>
      </c>
      <c r="C33" s="49"/>
      <c r="D33" s="49"/>
    </row>
    <row r="34" spans="2:7" s="2" customFormat="1" ht="33" customHeight="1" x14ac:dyDescent="0.4">
      <c r="B34" s="12"/>
      <c r="C34" s="12"/>
      <c r="D34" s="12"/>
    </row>
    <row r="35" spans="2:7" s="2" customFormat="1" ht="47.25" customHeight="1" x14ac:dyDescent="0.4">
      <c r="B35" s="52"/>
      <c r="C35" s="42"/>
      <c r="D35" s="42"/>
      <c r="E35" s="42"/>
      <c r="F35" s="42"/>
      <c r="G35" s="42"/>
    </row>
    <row r="36" spans="2:7" s="2" customFormat="1" ht="45" customHeight="1" x14ac:dyDescent="0.3"/>
    <row r="37" spans="2:7" s="2" customFormat="1" ht="20.100000000000001" customHeight="1" x14ac:dyDescent="0.3"/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  <row r="322" spans="4:5" x14ac:dyDescent="0.25">
      <c r="D322"/>
      <c r="E322"/>
    </row>
    <row r="323" spans="4:5" x14ac:dyDescent="0.25">
      <c r="D323"/>
      <c r="E323"/>
    </row>
    <row r="324" spans="4:5" x14ac:dyDescent="0.25">
      <c r="D324"/>
      <c r="E324"/>
    </row>
    <row r="325" spans="4:5" x14ac:dyDescent="0.25">
      <c r="D325"/>
      <c r="E325"/>
    </row>
    <row r="326" spans="4:5" x14ac:dyDescent="0.25">
      <c r="D326"/>
      <c r="E326"/>
    </row>
    <row r="327" spans="4:5" x14ac:dyDescent="0.25">
      <c r="D327"/>
      <c r="E327"/>
    </row>
    <row r="328" spans="4:5" x14ac:dyDescent="0.25">
      <c r="D328"/>
      <c r="E328"/>
    </row>
    <row r="329" spans="4:5" x14ac:dyDescent="0.25">
      <c r="D329"/>
      <c r="E329"/>
    </row>
    <row r="330" spans="4:5" x14ac:dyDescent="0.25">
      <c r="D330"/>
      <c r="E330"/>
    </row>
    <row r="331" spans="4:5" x14ac:dyDescent="0.25">
      <c r="D331"/>
      <c r="E331"/>
    </row>
    <row r="332" spans="4:5" x14ac:dyDescent="0.25">
      <c r="D332"/>
      <c r="E332"/>
    </row>
    <row r="333" spans="4:5" x14ac:dyDescent="0.25">
      <c r="D333"/>
      <c r="E333"/>
    </row>
    <row r="334" spans="4:5" x14ac:dyDescent="0.25">
      <c r="D334"/>
      <c r="E334"/>
    </row>
    <row r="335" spans="4:5" x14ac:dyDescent="0.25">
      <c r="D335"/>
      <c r="E335"/>
    </row>
    <row r="336" spans="4:5" x14ac:dyDescent="0.25">
      <c r="D336"/>
      <c r="E336"/>
    </row>
    <row r="337" spans="4:5" x14ac:dyDescent="0.25">
      <c r="D337"/>
      <c r="E337"/>
    </row>
    <row r="338" spans="4:5" x14ac:dyDescent="0.25">
      <c r="D338"/>
      <c r="E338"/>
    </row>
    <row r="339" spans="4:5" x14ac:dyDescent="0.25">
      <c r="D339"/>
      <c r="E339"/>
    </row>
    <row r="340" spans="4:5" x14ac:dyDescent="0.25">
      <c r="D340"/>
      <c r="E340"/>
    </row>
    <row r="341" spans="4:5" x14ac:dyDescent="0.25">
      <c r="D341"/>
      <c r="E341"/>
    </row>
    <row r="342" spans="4:5" x14ac:dyDescent="0.25">
      <c r="D342"/>
      <c r="E342"/>
    </row>
    <row r="343" spans="4:5" x14ac:dyDescent="0.25">
      <c r="D343"/>
      <c r="E343"/>
    </row>
    <row r="344" spans="4:5" x14ac:dyDescent="0.25">
      <c r="D344"/>
      <c r="E344"/>
    </row>
    <row r="345" spans="4:5" x14ac:dyDescent="0.25">
      <c r="D345"/>
      <c r="E345"/>
    </row>
    <row r="346" spans="4:5" x14ac:dyDescent="0.25">
      <c r="D346"/>
      <c r="E346"/>
    </row>
    <row r="347" spans="4:5" x14ac:dyDescent="0.25">
      <c r="D347"/>
      <c r="E347"/>
    </row>
    <row r="348" spans="4:5" x14ac:dyDescent="0.25">
      <c r="D348"/>
      <c r="E348"/>
    </row>
    <row r="349" spans="4:5" x14ac:dyDescent="0.25">
      <c r="D349"/>
      <c r="E349"/>
    </row>
    <row r="350" spans="4:5" x14ac:dyDescent="0.25">
      <c r="D350"/>
      <c r="E350"/>
    </row>
    <row r="351" spans="4:5" x14ac:dyDescent="0.25">
      <c r="D351"/>
      <c r="E351"/>
    </row>
    <row r="352" spans="4:5" x14ac:dyDescent="0.25">
      <c r="D352"/>
      <c r="E352"/>
    </row>
    <row r="353" spans="4:5" x14ac:dyDescent="0.25">
      <c r="D353"/>
      <c r="E353"/>
    </row>
    <row r="354" spans="4:5" x14ac:dyDescent="0.25">
      <c r="D354"/>
      <c r="E354"/>
    </row>
    <row r="355" spans="4:5" x14ac:dyDescent="0.25">
      <c r="D355"/>
      <c r="E355"/>
    </row>
    <row r="356" spans="4:5" x14ac:dyDescent="0.25">
      <c r="D356"/>
      <c r="E356"/>
    </row>
    <row r="357" spans="4:5" x14ac:dyDescent="0.25">
      <c r="D357"/>
      <c r="E357"/>
    </row>
    <row r="358" spans="4:5" x14ac:dyDescent="0.25">
      <c r="D358"/>
      <c r="E358"/>
    </row>
    <row r="359" spans="4:5" x14ac:dyDescent="0.25">
      <c r="D359"/>
      <c r="E359"/>
    </row>
    <row r="360" spans="4:5" x14ac:dyDescent="0.25">
      <c r="D360"/>
      <c r="E360"/>
    </row>
    <row r="361" spans="4:5" x14ac:dyDescent="0.25">
      <c r="D361"/>
      <c r="E361"/>
    </row>
    <row r="362" spans="4:5" x14ac:dyDescent="0.25">
      <c r="D362"/>
      <c r="E362"/>
    </row>
    <row r="363" spans="4:5" x14ac:dyDescent="0.25">
      <c r="D363"/>
      <c r="E363"/>
    </row>
    <row r="364" spans="4:5" x14ac:dyDescent="0.25">
      <c r="D364"/>
      <c r="E364"/>
    </row>
    <row r="365" spans="4:5" x14ac:dyDescent="0.25">
      <c r="D365"/>
      <c r="E365"/>
    </row>
    <row r="366" spans="4:5" x14ac:dyDescent="0.25">
      <c r="D366"/>
      <c r="E366"/>
    </row>
    <row r="367" spans="4:5" x14ac:dyDescent="0.25">
      <c r="D367"/>
      <c r="E367"/>
    </row>
    <row r="368" spans="4:5" x14ac:dyDescent="0.25">
      <c r="D368"/>
      <c r="E368"/>
    </row>
    <row r="369" spans="4:5" x14ac:dyDescent="0.25">
      <c r="D369"/>
      <c r="E369"/>
    </row>
    <row r="370" spans="4:5" x14ac:dyDescent="0.25">
      <c r="D370"/>
      <c r="E370"/>
    </row>
    <row r="371" spans="4:5" x14ac:dyDescent="0.25">
      <c r="D371"/>
      <c r="E371"/>
    </row>
    <row r="372" spans="4:5" x14ac:dyDescent="0.25">
      <c r="D372"/>
      <c r="E372"/>
    </row>
    <row r="373" spans="4:5" x14ac:dyDescent="0.25">
      <c r="D373"/>
      <c r="E373"/>
    </row>
    <row r="374" spans="4:5" x14ac:dyDescent="0.25">
      <c r="D374"/>
      <c r="E374"/>
    </row>
    <row r="375" spans="4:5" x14ac:dyDescent="0.25">
      <c r="D375"/>
      <c r="E375"/>
    </row>
    <row r="376" spans="4:5" x14ac:dyDescent="0.25">
      <c r="D376"/>
      <c r="E376"/>
    </row>
    <row r="377" spans="4:5" x14ac:dyDescent="0.25">
      <c r="D377"/>
      <c r="E377"/>
    </row>
    <row r="378" spans="4:5" x14ac:dyDescent="0.25">
      <c r="D378"/>
      <c r="E378"/>
    </row>
    <row r="379" spans="4:5" x14ac:dyDescent="0.25">
      <c r="D379"/>
      <c r="E379"/>
    </row>
    <row r="380" spans="4:5" x14ac:dyDescent="0.25">
      <c r="D380"/>
      <c r="E380"/>
    </row>
    <row r="381" spans="4:5" x14ac:dyDescent="0.25">
      <c r="D381"/>
      <c r="E381"/>
    </row>
    <row r="382" spans="4:5" x14ac:dyDescent="0.25">
      <c r="D382"/>
      <c r="E382"/>
    </row>
    <row r="383" spans="4:5" x14ac:dyDescent="0.25">
      <c r="D383"/>
      <c r="E383"/>
    </row>
    <row r="384" spans="4:5" x14ac:dyDescent="0.25">
      <c r="D384"/>
      <c r="E384"/>
    </row>
    <row r="385" spans="4:5" x14ac:dyDescent="0.25">
      <c r="D385"/>
      <c r="E385"/>
    </row>
    <row r="386" spans="4:5" x14ac:dyDescent="0.25">
      <c r="D386"/>
      <c r="E386"/>
    </row>
    <row r="387" spans="4:5" x14ac:dyDescent="0.25">
      <c r="D387"/>
      <c r="E387"/>
    </row>
    <row r="388" spans="4:5" x14ac:dyDescent="0.25">
      <c r="D388"/>
      <c r="E388"/>
    </row>
    <row r="389" spans="4:5" x14ac:dyDescent="0.25">
      <c r="D389"/>
      <c r="E389"/>
    </row>
    <row r="390" spans="4:5" x14ac:dyDescent="0.25">
      <c r="D390"/>
      <c r="E390"/>
    </row>
    <row r="391" spans="4:5" x14ac:dyDescent="0.25">
      <c r="D391"/>
      <c r="E391"/>
    </row>
    <row r="392" spans="4:5" x14ac:dyDescent="0.25">
      <c r="D392"/>
      <c r="E392"/>
    </row>
    <row r="393" spans="4:5" x14ac:dyDescent="0.25">
      <c r="D393"/>
      <c r="E393"/>
    </row>
    <row r="394" spans="4:5" x14ac:dyDescent="0.25">
      <c r="D394"/>
      <c r="E394"/>
    </row>
    <row r="395" spans="4:5" x14ac:dyDescent="0.25">
      <c r="D395"/>
      <c r="E395"/>
    </row>
    <row r="396" spans="4:5" x14ac:dyDescent="0.25">
      <c r="D396"/>
      <c r="E396"/>
    </row>
    <row r="397" spans="4:5" x14ac:dyDescent="0.25">
      <c r="D397"/>
      <c r="E397"/>
    </row>
    <row r="398" spans="4:5" x14ac:dyDescent="0.25">
      <c r="D398"/>
      <c r="E398"/>
    </row>
    <row r="399" spans="4:5" x14ac:dyDescent="0.25">
      <c r="D399"/>
      <c r="E399"/>
    </row>
    <row r="400" spans="4:5" x14ac:dyDescent="0.25">
      <c r="D400"/>
      <c r="E400"/>
    </row>
    <row r="401" spans="4:5" x14ac:dyDescent="0.25">
      <c r="D401"/>
      <c r="E401"/>
    </row>
    <row r="402" spans="4:5" x14ac:dyDescent="0.25">
      <c r="D402"/>
      <c r="E402"/>
    </row>
    <row r="403" spans="4:5" x14ac:dyDescent="0.25">
      <c r="D403"/>
      <c r="E403"/>
    </row>
    <row r="404" spans="4:5" x14ac:dyDescent="0.25">
      <c r="D404"/>
      <c r="E404"/>
    </row>
    <row r="405" spans="4:5" x14ac:dyDescent="0.25">
      <c r="D405"/>
      <c r="E405"/>
    </row>
    <row r="406" spans="4:5" x14ac:dyDescent="0.25">
      <c r="D406"/>
      <c r="E406"/>
    </row>
    <row r="407" spans="4:5" x14ac:dyDescent="0.25">
      <c r="D407"/>
      <c r="E407"/>
    </row>
    <row r="408" spans="4:5" x14ac:dyDescent="0.25">
      <c r="D408"/>
      <c r="E408"/>
    </row>
    <row r="409" spans="4:5" x14ac:dyDescent="0.25">
      <c r="D409"/>
      <c r="E409"/>
    </row>
    <row r="410" spans="4:5" x14ac:dyDescent="0.25">
      <c r="D410"/>
      <c r="E410"/>
    </row>
    <row r="411" spans="4:5" x14ac:dyDescent="0.25">
      <c r="D411"/>
      <c r="E411"/>
    </row>
    <row r="412" spans="4:5" x14ac:dyDescent="0.25">
      <c r="D412"/>
      <c r="E412"/>
    </row>
    <row r="413" spans="4:5" x14ac:dyDescent="0.25">
      <c r="D413"/>
      <c r="E413"/>
    </row>
    <row r="414" spans="4:5" x14ac:dyDescent="0.25">
      <c r="D414"/>
      <c r="E414"/>
    </row>
    <row r="415" spans="4:5" x14ac:dyDescent="0.25">
      <c r="D415"/>
      <c r="E415"/>
    </row>
    <row r="416" spans="4:5" x14ac:dyDescent="0.25">
      <c r="D416"/>
      <c r="E416"/>
    </row>
    <row r="417" spans="4:5" x14ac:dyDescent="0.25">
      <c r="D417"/>
      <c r="E417"/>
    </row>
    <row r="418" spans="4:5" x14ac:dyDescent="0.25">
      <c r="D418"/>
      <c r="E418"/>
    </row>
    <row r="419" spans="4:5" x14ac:dyDescent="0.25">
      <c r="D419"/>
      <c r="E419"/>
    </row>
    <row r="420" spans="4:5" x14ac:dyDescent="0.25">
      <c r="D420"/>
      <c r="E420"/>
    </row>
    <row r="421" spans="4:5" x14ac:dyDescent="0.25">
      <c r="D421"/>
      <c r="E421"/>
    </row>
    <row r="422" spans="4:5" x14ac:dyDescent="0.25">
      <c r="D422"/>
      <c r="E422"/>
    </row>
    <row r="423" spans="4:5" x14ac:dyDescent="0.25">
      <c r="D423"/>
      <c r="E423"/>
    </row>
    <row r="424" spans="4:5" x14ac:dyDescent="0.25">
      <c r="D424"/>
      <c r="E424"/>
    </row>
    <row r="425" spans="4:5" x14ac:dyDescent="0.25">
      <c r="D425"/>
      <c r="E425"/>
    </row>
    <row r="426" spans="4:5" x14ac:dyDescent="0.25">
      <c r="D426"/>
      <c r="E426"/>
    </row>
    <row r="427" spans="4:5" x14ac:dyDescent="0.25">
      <c r="D427"/>
      <c r="E427"/>
    </row>
    <row r="428" spans="4:5" x14ac:dyDescent="0.25">
      <c r="D428"/>
      <c r="E428"/>
    </row>
    <row r="429" spans="4:5" x14ac:dyDescent="0.25">
      <c r="D429"/>
      <c r="E429"/>
    </row>
    <row r="430" spans="4:5" x14ac:dyDescent="0.25">
      <c r="D430"/>
      <c r="E430"/>
    </row>
    <row r="431" spans="4:5" x14ac:dyDescent="0.25">
      <c r="D431"/>
      <c r="E431"/>
    </row>
    <row r="432" spans="4:5" x14ac:dyDescent="0.25">
      <c r="D432"/>
      <c r="E432"/>
    </row>
    <row r="433" spans="4:5" x14ac:dyDescent="0.25">
      <c r="D433"/>
      <c r="E433"/>
    </row>
    <row r="434" spans="4:5" x14ac:dyDescent="0.25">
      <c r="D434"/>
      <c r="E434"/>
    </row>
    <row r="435" spans="4:5" x14ac:dyDescent="0.25">
      <c r="D435"/>
      <c r="E435"/>
    </row>
    <row r="436" spans="4:5" x14ac:dyDescent="0.25">
      <c r="D436"/>
      <c r="E436"/>
    </row>
    <row r="437" spans="4:5" x14ac:dyDescent="0.25">
      <c r="D437"/>
      <c r="E437"/>
    </row>
    <row r="438" spans="4:5" x14ac:dyDescent="0.25">
      <c r="D438"/>
      <c r="E438"/>
    </row>
    <row r="439" spans="4:5" x14ac:dyDescent="0.25">
      <c r="D439"/>
      <c r="E439"/>
    </row>
    <row r="440" spans="4:5" x14ac:dyDescent="0.25">
      <c r="D440"/>
      <c r="E440"/>
    </row>
    <row r="441" spans="4:5" x14ac:dyDescent="0.25">
      <c r="D441"/>
      <c r="E441"/>
    </row>
    <row r="442" spans="4:5" x14ac:dyDescent="0.25">
      <c r="D442"/>
      <c r="E442"/>
    </row>
    <row r="443" spans="4:5" x14ac:dyDescent="0.25">
      <c r="D443"/>
      <c r="E443"/>
    </row>
    <row r="444" spans="4:5" x14ac:dyDescent="0.25">
      <c r="D444"/>
      <c r="E444"/>
    </row>
    <row r="445" spans="4:5" x14ac:dyDescent="0.25">
      <c r="D445"/>
      <c r="E445"/>
    </row>
    <row r="446" spans="4:5" x14ac:dyDescent="0.25">
      <c r="D446"/>
      <c r="E446"/>
    </row>
    <row r="447" spans="4:5" x14ac:dyDescent="0.25">
      <c r="D447"/>
      <c r="E447"/>
    </row>
    <row r="448" spans="4:5" x14ac:dyDescent="0.25">
      <c r="D448"/>
      <c r="E448"/>
    </row>
    <row r="449" spans="4:5" x14ac:dyDescent="0.25">
      <c r="D449"/>
      <c r="E449"/>
    </row>
  </sheetData>
  <mergeCells count="35">
    <mergeCell ref="C4:D5"/>
    <mergeCell ref="C7:D7"/>
    <mergeCell ref="C22:G22"/>
    <mergeCell ref="C28:G28"/>
    <mergeCell ref="C18:D18"/>
    <mergeCell ref="C27:G27"/>
    <mergeCell ref="F7:G7"/>
    <mergeCell ref="C10:D10"/>
    <mergeCell ref="C9:D9"/>
    <mergeCell ref="F8:G8"/>
    <mergeCell ref="F9:G9"/>
    <mergeCell ref="C8:D8"/>
    <mergeCell ref="F10:G10"/>
    <mergeCell ref="C16:D16"/>
    <mergeCell ref="B33:D33"/>
    <mergeCell ref="C11:D11"/>
    <mergeCell ref="B35:G35"/>
    <mergeCell ref="C26:D26"/>
    <mergeCell ref="E29:G29"/>
    <mergeCell ref="C19:D19"/>
    <mergeCell ref="C17:D17"/>
    <mergeCell ref="E19:F19"/>
    <mergeCell ref="E18:F18"/>
    <mergeCell ref="C12:D12"/>
    <mergeCell ref="B32:D32"/>
    <mergeCell ref="C24:G24"/>
    <mergeCell ref="C20:D20"/>
    <mergeCell ref="C15:D15"/>
    <mergeCell ref="C25:D25"/>
    <mergeCell ref="C31:G31"/>
    <mergeCell ref="C21:D21"/>
    <mergeCell ref="C30:G30"/>
    <mergeCell ref="E21:F21"/>
    <mergeCell ref="E20:F20"/>
    <mergeCell ref="C23:G23"/>
  </mergeCells>
  <phoneticPr fontId="1" type="noConversion"/>
  <hyperlinks>
    <hyperlink ref="F8" r:id="rId1" display="joanna@gentrice.net" xr:uid="{5C353C36-263B-4D73-B024-4F6421442EC6}"/>
  </hyperlinks>
  <pageMargins left="0.75" right="0.75" top="1" bottom="1" header="0.5" footer="0.5"/>
  <pageSetup paperSize="9" scale="5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2025-11-10T08:43:45Z</cp:lastPrinted>
  <dcterms:created xsi:type="dcterms:W3CDTF">1999-12-09T02:36:51Z</dcterms:created>
  <dcterms:modified xsi:type="dcterms:W3CDTF">2025-11-10T08:44:00Z</dcterms:modified>
</cp:coreProperties>
</file>