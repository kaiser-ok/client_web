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MikroTik\"/>
    </mc:Choice>
  </mc:AlternateContent>
  <xr:revisionPtr revIDLastSave="0" documentId="13_ncr:1_{6EAE43B1-850E-455E-B582-20A922EA6CA0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系統報價 Kevin" sheetId="8" r:id="rId1"/>
  </sheets>
  <definedNames>
    <definedName name="_xlnm.Print_Area" localSheetId="0">'系統報價 Kevin'!$A$1:$G$31</definedName>
  </definedNames>
  <calcPr calcId="191029"/>
</workbook>
</file>

<file path=xl/calcChain.xml><?xml version="1.0" encoding="utf-8"?>
<calcChain xmlns="http://schemas.openxmlformats.org/spreadsheetml/2006/main">
  <c r="G17" i="8" l="1"/>
  <c r="G18" i="8" l="1"/>
  <c r="G20" i="8" s="1"/>
  <c r="G19" i="8"/>
  <c r="G21" i="8" l="1"/>
</calcChain>
</file>

<file path=xl/sharedStrings.xml><?xml version="1.0" encoding="utf-8"?>
<sst xmlns="http://schemas.openxmlformats.org/spreadsheetml/2006/main" count="48" uniqueCount="48">
  <si>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</si>
  <si>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</si>
  <si>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</si>
  <si>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</si>
  <si>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</si>
  <si>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19" type="noConversion"/>
  </si>
  <si>
    <t>註：</t>
    <phoneticPr fontId="19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</si>
  <si>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</si>
  <si>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</si>
  <si>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</si>
  <si>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</si>
  <si>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</si>
  <si>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</si>
  <si>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</si>
  <si>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</si>
  <si>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</si>
  <si>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</si>
  <si>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</si>
  <si>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</si>
  <si>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</si>
  <si>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</si>
  <si>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</si>
  <si>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</si>
  <si>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</si>
  <si>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</si>
  <si>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</si>
  <si>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r>
      <rPr>
        <b/>
        <sz val="20"/>
        <rFont val="新細明體"/>
        <family val="2"/>
        <charset val="136"/>
      </rPr>
      <t>專案</t>
    </r>
    <r>
      <rPr>
        <b/>
        <sz val="20"/>
        <rFont val="Calibri"/>
        <family val="2"/>
      </rPr>
      <t xml:space="preserve">  :</t>
    </r>
    <phoneticPr fontId="3" type="noConversion"/>
  </si>
  <si>
    <t>顯赫資訊股份有限公司</t>
    <phoneticPr fontId="2" type="noConversion"/>
  </si>
  <si>
    <t>統一編號：80426746</t>
    <phoneticPr fontId="3" type="noConversion"/>
  </si>
  <si>
    <t>友訊科技股份有限公司</t>
    <phoneticPr fontId="3" type="noConversion"/>
  </si>
  <si>
    <t>1</t>
    <phoneticPr fontId="3" type="noConversion"/>
  </si>
  <si>
    <t>月結 60 天</t>
    <phoneticPr fontId="3" type="noConversion"/>
  </si>
  <si>
    <t>1.報價單有效期限為 即日起30日內(含假日)有效。</t>
    <phoneticPr fontId="2" type="noConversion"/>
  </si>
  <si>
    <r>
      <rPr>
        <sz val="16"/>
        <rFont val="新細明體"/>
        <family val="1"/>
        <charset val="136"/>
      </rPr>
      <t>地址：新北市中和</t>
    </r>
    <r>
      <rPr>
        <sz val="16"/>
        <rFont val="Microsoft JhengHei"/>
        <family val="1"/>
      </rPr>
      <t>區建一路166號13樓之3</t>
    </r>
    <phoneticPr fontId="3" type="noConversion"/>
  </si>
  <si>
    <t>SUB TOTAL：</t>
  </si>
  <si>
    <t>未稅小計：</t>
  </si>
  <si>
    <t>5%營業稅：</t>
  </si>
  <si>
    <t>含稅金額：</t>
  </si>
  <si>
    <t>MikroTik 
CCR2004-1G-12S+2XS</t>
    <phoneticPr fontId="3" type="noConversion"/>
  </si>
  <si>
    <t>保固：</t>
    <phoneticPr fontId="3" type="noConversion"/>
  </si>
  <si>
    <t>吳榮斌先生</t>
    <phoneticPr fontId="3" type="noConversion"/>
  </si>
  <si>
    <t>07-390-0257 #105</t>
    <phoneticPr fontId="3" type="noConversion"/>
  </si>
  <si>
    <t xml:space="preserve">0929-336-718 </t>
    <phoneticPr fontId="3" type="noConversion"/>
  </si>
  <si>
    <t>jack.wu@tw.dlink.com</t>
    <phoneticPr fontId="3" type="noConversion"/>
  </si>
  <si>
    <t>嘉義縣教網 MikroTik</t>
    <phoneticPr fontId="3" type="noConversion"/>
  </si>
  <si>
    <t>保固: 2年 (驗收後次日起計算)</t>
    <phoneticPr fontId="3" type="noConversion"/>
  </si>
  <si>
    <t>20250721-01</t>
    <phoneticPr fontId="3" type="noConversion"/>
  </si>
  <si>
    <t>4核心，CPU:1700MHz,RAM:4GB
1 個 10/100/1000 Mbps 乙太網路連接埠
12個SFP+ 插槽
2個25G SFP28 插槽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</si>
</sst>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4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b/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u/>
      <sz val="22"/>
      <color indexed="12"/>
      <name val="新細明體"/>
      <family val="1"/>
      <charset val="136"/>
    </font>
    <font>
      <b/>
      <sz val="24"/>
      <name val="Calibri"/>
      <family val="2"/>
    </font>
    <font>
      <sz val="24"/>
      <name val="Calibri"/>
      <family val="2"/>
    </font>
    <font>
      <sz val="22"/>
      <name val="新細明體"/>
      <family val="1"/>
      <charset val="136"/>
    </font>
    <font>
      <b/>
      <sz val="25"/>
      <name val="微軟正黑體"/>
      <family val="2"/>
      <charset val="136"/>
    </font>
    <font>
      <b/>
      <sz val="20"/>
      <name val="新細明體"/>
      <family val="2"/>
      <charset val="136"/>
    </font>
    <font>
      <b/>
      <sz val="20"/>
      <name val="Calibri"/>
      <family val="2"/>
      <charset val="136"/>
    </font>
    <font>
      <sz val="18"/>
      <name val="微軟正黑體"/>
      <family val="2"/>
      <charset val="136"/>
    </font>
    <font>
      <sz val="16"/>
      <name val="Microsoft JhengHei"/>
      <family val="1"/>
    </font>
    <font>
      <sz val="16"/>
      <name val="Calibri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9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9" fillId="0" borderId="0" xfId="0" applyFont="1"/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0" fontId="20" fillId="0" borderId="3" xfId="0" applyFont="1" applyBorder="1" applyAlignment="1">
      <alignment horizontal="right" vertical="center"/>
    </xf>
    <xf numFmtId="177" fontId="20" fillId="0" borderId="3" xfId="1" applyNumberFormat="1" applyFont="1" applyFill="1" applyBorder="1" applyAlignment="1">
      <alignment horizontal="right" vertical="center"/>
    </xf>
    <xf numFmtId="49" fontId="20" fillId="0" borderId="3" xfId="0" applyNumberFormat="1" applyFont="1" applyBorder="1" applyAlignment="1">
      <alignment horizontal="center"/>
    </xf>
    <xf numFmtId="0" fontId="24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58" fontId="26" fillId="0" borderId="2" xfId="0" applyNumberFormat="1" applyFont="1" applyBorder="1" applyAlignment="1">
      <alignment horizontal="right"/>
    </xf>
    <xf numFmtId="0" fontId="26" fillId="0" borderId="0" xfId="0" applyFont="1" applyAlignment="1">
      <alignment horizontal="right" vertical="center"/>
    </xf>
    <xf numFmtId="0" fontId="28" fillId="0" borderId="0" xfId="0" applyFont="1"/>
    <xf numFmtId="0" fontId="29" fillId="0" borderId="0" xfId="0" applyFont="1"/>
    <xf numFmtId="0" fontId="30" fillId="0" borderId="0" xfId="0" applyFont="1"/>
    <xf numFmtId="176" fontId="21" fillId="0" borderId="3" xfId="1" applyNumberFormat="1" applyFont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29" fillId="0" borderId="0" xfId="0" applyFont="1" applyAlignment="1">
      <alignment wrapText="1"/>
    </xf>
    <xf numFmtId="49" fontId="26" fillId="0" borderId="0" xfId="0" applyNumberFormat="1" applyFont="1" applyAlignment="1">
      <alignment horizontal="left"/>
    </xf>
    <xf numFmtId="0" fontId="35" fillId="0" borderId="0" xfId="0" applyFont="1"/>
    <xf numFmtId="49" fontId="27" fillId="0" borderId="0" xfId="0" applyNumberFormat="1" applyFont="1"/>
    <xf numFmtId="49" fontId="20" fillId="0" borderId="3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right" vertical="center"/>
    </xf>
    <xf numFmtId="0" fontId="20" fillId="0" borderId="0" xfId="0" applyFont="1"/>
    <xf numFmtId="176" fontId="8" fillId="2" borderId="3" xfId="1" applyNumberFormat="1" applyFont="1" applyFill="1" applyBorder="1" applyAlignment="1">
      <alignment horizontal="left" wrapText="1"/>
    </xf>
    <xf numFmtId="0" fontId="27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38" fillId="0" borderId="0" xfId="0" applyFont="1"/>
    <xf numFmtId="49" fontId="20" fillId="0" borderId="3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right" wrapText="1"/>
    </xf>
    <xf numFmtId="0" fontId="40" fillId="0" borderId="0" xfId="0" applyFont="1"/>
    <xf numFmtId="177" fontId="22" fillId="0" borderId="3" xfId="1" applyNumberFormat="1" applyFont="1" applyBorder="1" applyAlignment="1">
      <alignment horizontal="right" vertical="center"/>
    </xf>
    <xf numFmtId="38" fontId="20" fillId="0" borderId="3" xfId="0" applyNumberFormat="1" applyFont="1" applyBorder="1" applyAlignment="1">
      <alignment horizontal="right" vertical="center"/>
    </xf>
    <xf numFmtId="3" fontId="20" fillId="0" borderId="3" xfId="1" applyNumberFormat="1" applyFont="1" applyBorder="1" applyAlignment="1">
      <alignment horizontal="right" vertical="center" wrapText="1"/>
    </xf>
    <xf numFmtId="0" fontId="24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0" xfId="0" applyFont="1"/>
    <xf numFmtId="0" fontId="24" fillId="0" borderId="0" xfId="0" applyFont="1" applyAlignment="1">
      <alignment wrapText="1"/>
    </xf>
    <xf numFmtId="0" fontId="10" fillId="0" borderId="0" xfId="0" applyFont="1"/>
    <xf numFmtId="0" fontId="23" fillId="0" borderId="0" xfId="0" applyFont="1"/>
    <xf numFmtId="0" fontId="0" fillId="0" borderId="0" xfId="0"/>
    <xf numFmtId="0" fontId="27" fillId="0" borderId="0" xfId="0" applyFont="1" applyAlignment="1">
      <alignment wrapText="1"/>
    </xf>
    <xf numFmtId="0" fontId="0" fillId="0" borderId="0" xfId="0" applyAlignment="1">
      <alignment wrapText="1"/>
    </xf>
    <xf numFmtId="0" fontId="13" fillId="0" borderId="0" xfId="0" applyFont="1"/>
    <xf numFmtId="0" fontId="31" fillId="0" borderId="0" xfId="2" applyFont="1" applyAlignment="1" applyProtection="1">
      <alignment wrapText="1"/>
    </xf>
    <xf numFmtId="0" fontId="34" fillId="0" borderId="0" xfId="0" applyFont="1" applyAlignment="1">
      <alignment wrapText="1"/>
    </xf>
    <xf numFmtId="176" fontId="8" fillId="2" borderId="3" xfId="1" applyNumberFormat="1" applyFont="1" applyFill="1" applyBorder="1" applyAlignment="1">
      <alignment horizontal="left" wrapText="1"/>
    </xf>
    <xf numFmtId="0" fontId="0" fillId="0" borderId="9" xfId="0" applyBorder="1"/>
    <xf numFmtId="49" fontId="20" fillId="0" borderId="3" xfId="1" applyNumberFormat="1" applyFont="1" applyFill="1" applyBorder="1" applyAlignment="1">
      <alignment horizontal="left" vertical="center" wrapText="1"/>
    </xf>
    <xf numFmtId="38" fontId="22" fillId="0" borderId="3" xfId="1" applyNumberFormat="1" applyFont="1" applyBorder="1" applyAlignment="1">
      <alignment horizontal="right" wrapText="1"/>
    </xf>
    <xf numFmtId="0" fontId="0" fillId="0" borderId="8" xfId="0" applyBorder="1"/>
    <xf numFmtId="49" fontId="20" fillId="0" borderId="3" xfId="15" applyNumberFormat="1" applyFont="1" applyBorder="1" applyAlignment="1">
      <alignment horizontal="left" vertical="center" wrapText="1"/>
    </xf>
    <xf numFmtId="49" fontId="20" fillId="0" borderId="7" xfId="1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49" fontId="20" fillId="0" borderId="3" xfId="1" applyNumberFormat="1" applyFont="1" applyFill="1" applyBorder="1" applyAlignment="1">
      <alignment horizontal="left" wrapText="1"/>
    </xf>
    <xf numFmtId="38" fontId="20" fillId="0" borderId="3" xfId="0" applyNumberFormat="1" applyFont="1" applyBorder="1" applyAlignment="1">
      <alignment horizontal="right" vertical="center"/>
    </xf>
    <xf numFmtId="0" fontId="14" fillId="0" borderId="0" xfId="0" applyFont="1"/>
    <xf numFmtId="0" fontId="18" fillId="0" borderId="5" xfId="0" applyFont="1" applyBorder="1" applyAlignment="1">
      <alignment horizontal="left"/>
    </xf>
    <xf numFmtId="0" fontId="20" fillId="0" borderId="4" xfId="0" applyFont="1" applyBorder="1" applyAlignment="1">
      <alignment horizontal="justify"/>
    </xf>
    <xf numFmtId="0" fontId="16" fillId="0" borderId="0" xfId="0" applyFont="1" applyAlignment="1">
      <alignment wrapText="1"/>
    </xf>
    <xf numFmtId="0" fontId="25" fillId="0" borderId="6" xfId="0" applyFont="1" applyBorder="1"/>
    <xf numFmtId="0" fontId="14" fillId="0" borderId="0" xfId="0" applyFont="1" applyAlignment="1">
      <alignment horizontal="left"/>
    </xf>
  </cellXfs>
  <cellStyles count="16">
    <cellStyle name="一般" xfId="0" builtinId="0"/>
    <cellStyle name="千分位" xfId="1" builtinId="3"/>
    <cellStyle name="千分位 2" xfId="4" xr:uid="{1CC59868-FFB7-4BDA-BC38-34A0B68F1E2A}"/>
    <cellStyle name="千分位 2 2" xfId="6" xr:uid="{F6315B9C-C552-4C6E-B53E-06CB558E2269}"/>
    <cellStyle name="千分位 2 2 2" xfId="15" xr:uid="{B456A579-F428-4536-AE10-9408BF6EAB8F}"/>
    <cellStyle name="千分位 2 3" xfId="13" xr:uid="{64FE3F01-2C26-4767-9848-963FDC2D6E08}"/>
    <cellStyle name="千分位 2 4" xfId="10" xr:uid="{DB7CE5E5-86F0-48CF-8BD2-0B871E08572A}"/>
    <cellStyle name="千分位 3" xfId="5" xr:uid="{4425627E-B0CF-49F0-9223-470131CAA925}"/>
    <cellStyle name="千分位 3 2" xfId="14" xr:uid="{B5B033AA-BB94-4BD2-95E0-D2F7219CE778}"/>
    <cellStyle name="千分位 3 3" xfId="11" xr:uid="{5F154EB6-CAC1-4016-9565-9DB3B5E763BA}"/>
    <cellStyle name="千分位 4" xfId="12" xr:uid="{D73BD6DC-84C9-4CB6-BF9F-EDE1ADD05A2E}"/>
    <cellStyle name="千分位 5" xfId="9" xr:uid="{3ACE1AE6-9E0F-4FC4-987E-C672148F08E8}"/>
    <cellStyle name="千分位 6" xfId="8" xr:uid="{53B78FBF-40F1-429D-A4B9-1F179F1B3B46}"/>
    <cellStyle name="千分位 7" xfId="7" xr:uid="{456C1B6D-F207-4EC5-8CC9-8DDA40B55CAB}"/>
    <cellStyle name="千分位 8" xfId="3" xr:uid="{1FCD778E-923A-46A6-80CF-661BE91A4691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F2F1863-092C-4160-B85E-E74A8D8E8D31}"/>
            </a:ext>
          </a:extLst>
        </xdr:cNvPr>
        <xdr:cNvSpPr txBox="1">
          <a:spLocks noChangeArrowheads="1"/>
        </xdr:cNvSpPr>
      </xdr:nvSpPr>
      <xdr:spPr bwMode="auto">
        <a:xfrm>
          <a:off x="4248150" y="742950"/>
          <a:ext cx="1809750" cy="7937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BD5F0CFE-3819-4C02-B55E-C3BD34901BC1}"/>
            </a:ext>
          </a:extLst>
        </xdr:cNvPr>
        <xdr:cNvSpPr txBox="1">
          <a:spLocks noChangeArrowheads="1"/>
        </xdr:cNvSpPr>
      </xdr:nvSpPr>
      <xdr:spPr bwMode="auto">
        <a:xfrm>
          <a:off x="2886075" y="441325"/>
          <a:ext cx="3857625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0D59F-D704-48D6-9E7B-F58F2B73796A}">
  <dimension ref="A3:M445"/>
  <sheetViews>
    <sheetView tabSelected="1" view="pageBreakPreview" topLeftCell="A7" zoomScale="80" zoomScaleNormal="80" zoomScaleSheetLayoutView="80" workbookViewId="0">
      <selection activeCell="L21" sqref="L21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14.7265625" style="5" customWidth="1"/>
    <col min="4" max="4" width="46.08984375" style="15" customWidth="1"/>
    <col min="5" max="5" width="21" style="15" customWidth="1"/>
    <col min="6" max="6" width="13" style="5" customWidth="1"/>
    <col min="7" max="7" width="24.26953125" style="5" customWidth="1"/>
    <col min="8" max="16384" width="9" style="5"/>
  </cols>
  <sheetData>
    <row r="3" spans="1:13" ht="21.5">
      <c r="A3" s="2"/>
      <c r="B3" s="1"/>
      <c r="C3" s="1"/>
      <c r="D3" s="10"/>
      <c r="E3" s="10"/>
      <c r="F3" s="1"/>
      <c r="G3" s="1"/>
    </row>
    <row r="4" spans="1:13" s="5" customFormat="1" ht="43.5" ph="1">
      <c r="A4" s="17" t="s" ph="1">
        <v>2</v>
      </c>
      <c r="B4" s="1" ph="1"/>
      <c r="C4" s="1" ph="1"/>
      <c r="D4" s="10" ph="1"/>
      <c r="E4" s="35" t="s">
        <v>27</v>
      </c>
      <c r="F4" s="28" ph="1"/>
      <c r="G4" s="27" ph="1"/>
    </row>
    <row r="5" spans="1:13" ht="22">
      <c r="A5" s="2"/>
      <c r="B5" s="1"/>
      <c r="C5" s="1"/>
      <c r="D5" s="10"/>
      <c r="E5" s="39" t="s">
        <v>28</v>
      </c>
      <c r="F5" s="28"/>
      <c r="G5" s="29"/>
    </row>
    <row r="6" spans="1:13" ht="22.5" thickBot="1">
      <c r="A6" s="2"/>
      <c r="B6" s="6"/>
      <c r="C6" s="6"/>
      <c r="D6" s="13"/>
      <c r="E6" s="47" t="s">
        <v>33</v>
      </c>
      <c r="F6" s="28"/>
      <c r="G6" s="29"/>
    </row>
    <row r="7" spans="1:13" s="4" customFormat="1" ht="30" customHeight="1" thickTop="1" ph="1">
      <c r="A7" s="7" ph="1"/>
      <c r="B7" s="25" t="s" ph="1">
        <v>17</v>
      </c>
      <c r="C7" s="51" t="s">
        <v>29</v>
      </c>
      <c r="D7" s="52"/>
      <c r="E7" s="46" t="s" ph="1">
        <v>16</v>
      </c>
      <c r="F7" s="53" t="s" ph="1">
        <v>46</v>
      </c>
      <c r="G7" s="53" ph="1"/>
    </row>
    <row r="8" spans="1:13" s="4" customFormat="1" ht="30" customHeight="1" ph="1">
      <c r="A8" s="8" ph="1"/>
      <c r="B8" s="24" t="s" ph="1">
        <v>18</v>
      </c>
      <c r="C8" s="54" t="s">
        <v>40</v>
      </c>
      <c r="D8" s="55"/>
      <c r="E8" s="24" t="s" ph="1">
        <v>21</v>
      </c>
      <c r="F8" s="56" t="s">
        <v>14</v>
      </c>
      <c r="G8" s="57"/>
    </row>
    <row r="9" spans="1:13" s="4" customFormat="1" ht="30" customHeight="1">
      <c r="A9" s="12"/>
      <c r="B9" s="24" t="s">
        <v>19</v>
      </c>
      <c r="C9" s="58" t="s">
        <v>41</v>
      </c>
      <c r="D9" s="59"/>
      <c r="E9" s="46" t="s">
        <v>22</v>
      </c>
      <c r="F9" s="60" t="s">
        <v>12</v>
      </c>
      <c r="G9" s="60"/>
    </row>
    <row r="10" spans="1:13" s="4" customFormat="1" ht="30" customHeight="1">
      <c r="A10" s="12"/>
      <c r="B10" s="24" t="s">
        <v>20</v>
      </c>
      <c r="C10" s="36" t="s">
        <v>42</v>
      </c>
      <c r="D10" s="41"/>
      <c r="E10" s="46" t="s">
        <v>23</v>
      </c>
      <c r="F10" s="60" t="s">
        <v>13</v>
      </c>
      <c r="G10" s="60"/>
    </row>
    <row r="11" spans="1:13" s="4" customFormat="1" ht="30" customHeight="1">
      <c r="A11" s="12"/>
      <c r="B11" s="26" t="s">
        <v>15</v>
      </c>
      <c r="C11" s="55" t="s">
        <v>43</v>
      </c>
      <c r="D11" s="55"/>
      <c r="E11" s="41"/>
    </row>
    <row r="12" spans="1:13" s="4" customFormat="1" ht="33" customHeight="1" ph="1">
      <c r="A12" s="12" ph="1"/>
      <c r="B12" s="26"/>
      <c r="C12" s="61" ph="1"/>
      <c r="D12" s="62"/>
      <c r="E12" s="14" ph="1"/>
      <c r="F12" s="12" ph="1"/>
      <c r="G12" s="12" ph="1"/>
    </row>
    <row r="13" spans="1:13" s="4" customFormat="1" ht="27.5">
      <c r="A13" s="12"/>
      <c r="B13" s="38" t="s">
        <v>26</v>
      </c>
      <c r="C13" s="44" t="s">
        <v>44</v>
      </c>
      <c r="D13" s="10"/>
      <c r="E13" s="14"/>
      <c r="F13" s="12"/>
      <c r="G13" s="16"/>
      <c r="M13" s="14"/>
    </row>
    <row r="14" spans="1:13" s="4" customFormat="1" ht="27.5">
      <c r="A14" s="12"/>
      <c r="B14" s="38"/>
      <c r="C14" s="44"/>
      <c r="D14" s="10"/>
      <c r="E14" s="14"/>
      <c r="F14" s="12"/>
      <c r="G14" s="16"/>
      <c r="M14" s="14"/>
    </row>
    <row r="15" spans="1:13" s="28" customFormat="1" ht="33.5">
      <c r="A15" s="31" t="s">
        <v>24</v>
      </c>
      <c r="B15" s="32"/>
      <c r="C15" s="32"/>
      <c r="D15" s="33"/>
      <c r="E15" s="33"/>
      <c r="F15" s="34" t="s">
        <v>25</v>
      </c>
    </row>
    <row r="16" spans="1:13" s="4" customFormat="1" ht="39.75" customHeight="1">
      <c r="A16" s="18" t="s">
        <v>1</v>
      </c>
      <c r="B16" s="19" t="s">
        <v>10</v>
      </c>
      <c r="C16" s="63" t="s">
        <v>3</v>
      </c>
      <c r="D16" s="64"/>
      <c r="E16" s="40" t="s">
        <v>11</v>
      </c>
      <c r="F16" s="19" t="s">
        <v>0</v>
      </c>
      <c r="G16" s="19" t="s">
        <v>9</v>
      </c>
    </row>
    <row r="17" spans="1:7" s="9" customFormat="1" ht="105.5" customHeight="1">
      <c r="A17" s="37" t="s">
        <v>30</v>
      </c>
      <c r="B17" s="45" t="s">
        <v>38</v>
      </c>
      <c r="C17" s="68" t="s">
        <v>47</v>
      </c>
      <c r="D17" s="67"/>
      <c r="E17" s="50">
        <v>19000</v>
      </c>
      <c r="F17" s="21">
        <v>20</v>
      </c>
      <c r="G17" s="48">
        <f>E17*F17</f>
        <v>380000</v>
      </c>
    </row>
    <row r="18" spans="1:7" s="9" customFormat="1" ht="31.5" customHeight="1">
      <c r="A18" s="22"/>
      <c r="B18" s="30"/>
      <c r="C18" s="65"/>
      <c r="D18" s="65"/>
      <c r="E18" s="66" t="s">
        <v>34</v>
      </c>
      <c r="F18" s="67"/>
      <c r="G18" s="49">
        <f>SUM(G17:G17)</f>
        <v>380000</v>
      </c>
    </row>
    <row r="19" spans="1:7" s="9" customFormat="1" ht="31.5" customHeight="1">
      <c r="A19" s="20" t="s">
        <v>6</v>
      </c>
      <c r="B19" s="20" t="s">
        <v>39</v>
      </c>
      <c r="C19" s="69" t="s">
        <v>45</v>
      </c>
      <c r="D19" s="70"/>
      <c r="E19" s="66" t="s">
        <v>35</v>
      </c>
      <c r="F19" s="67"/>
      <c r="G19" s="49">
        <f>SUM(G17:G17)</f>
        <v>380000</v>
      </c>
    </row>
    <row r="20" spans="1:7" s="9" customFormat="1" ht="31.5" customHeight="1">
      <c r="A20" s="22" ph="1"/>
      <c r="B20" s="20" t="s" ph="1">
        <v>8</v>
      </c>
      <c r="C20" s="71" t="s">
        <v>31</v>
      </c>
      <c r="D20" s="71"/>
      <c r="E20" s="72" t="s">
        <v>36</v>
      </c>
      <c r="F20" s="67"/>
      <c r="G20" s="49">
        <f>SUM(G18*1.05)-G18</f>
        <v>19000</v>
      </c>
    </row>
    <row r="21" spans="1:7" s="9" customFormat="1" ht="31.5" customHeight="1" ph="1">
      <c r="A21" s="22"/>
      <c r="B21" s="20"/>
      <c r="C21" s="71"/>
      <c r="D21" s="71"/>
      <c r="E21" s="72" t="s">
        <v>37</v>
      </c>
      <c r="F21" s="67"/>
      <c r="G21" s="49" ph="1">
        <f>SUM(G19:G20)</f>
        <v>399000</v>
      </c>
    </row>
    <row r="22" spans="1:7" s="9" customFormat="1" ht="31.5" customHeight="1" ph="1">
      <c r="A22" s="3"/>
      <c r="B22" s="23" t="s">
        <v>4</v>
      </c>
      <c r="C22" s="77" t="s">
        <v>32</v>
      </c>
      <c r="D22" s="77"/>
      <c r="E22" s="77"/>
      <c r="F22" s="77"/>
      <c r="G22" s="77"/>
    </row>
    <row r="23" spans="1:7" s="9" customFormat="1" ht="31.5" customHeight="1">
      <c r="A23" s="3"/>
      <c r="B23" s="4"/>
      <c r="C23" s="78" ph="1"/>
      <c r="D23" s="78" ph="1"/>
      <c r="E23" s="78" ph="1"/>
      <c r="F23" s="78" ph="1"/>
      <c r="G23" s="78" ph="1"/>
    </row>
    <row r="24" spans="1:7" s="2" customFormat="1" ht="33" customHeight="1">
      <c r="A24" s="3"/>
      <c r="B24" s="4"/>
      <c r="C24" s="78" ph="1"/>
      <c r="D24" s="78" ph="1"/>
      <c r="E24" s="43" ph="1"/>
      <c r="F24" s="43" ph="1"/>
      <c r="G24" s="43" ph="1"/>
    </row>
    <row r="25" spans="1:7" s="2" customFormat="1" ht="47.25" customHeight="1">
      <c r="A25" s="3"/>
      <c r="B25" s="4"/>
      <c r="C25" s="73" ph="1"/>
      <c r="D25" s="73" ph="1"/>
      <c r="E25" s="73" ph="1"/>
      <c r="F25" s="73" ph="1"/>
      <c r="G25" s="73" ph="1"/>
    </row>
    <row r="26" spans="1:7" s="2" customFormat="1" ht="45" customHeight="1" ph="1">
      <c r="A26" s="3"/>
      <c r="B26" s="4"/>
      <c r="C26" s="73" ph="1"/>
      <c r="D26" s="73" ph="1"/>
      <c r="E26" s="73" ph="1"/>
      <c r="F26" s="73" ph="1"/>
      <c r="G26" s="73" ph="1"/>
    </row>
    <row r="27" spans="1:7" s="2" customFormat="1" ht="30">
      <c r="A27" s="3"/>
      <c r="B27" s="4"/>
      <c r="C27" s="73" ph="1"/>
      <c r="D27" s="73" ph="1"/>
      <c r="E27" s="73" ph="1"/>
      <c r="F27" s="73" ph="1"/>
      <c r="G27" s="73" ph="1"/>
    </row>
    <row r="28" spans="1:7" ht="21" thickBot="1">
      <c r="A28" s="11"/>
      <c r="B28" s="74" t="s">
        <v>7</v>
      </c>
      <c r="C28" s="74"/>
      <c r="D28" s="74"/>
      <c r="E28"/>
      <c r="F28"/>
      <c r="G28"/>
    </row>
    <row r="29" spans="1:7" ht="20.5">
      <c r="A29" s="2"/>
      <c r="B29" s="75" t="s">
        <v>5</v>
      </c>
      <c r="C29" s="75"/>
      <c r="D29" s="75"/>
      <c r="E29"/>
      <c r="F29"/>
      <c r="G29"/>
    </row>
    <row r="30" spans="1:7" ht="27.5">
      <c r="A30" s="2"/>
      <c r="B30" s="42"/>
      <c r="C30" s="14"/>
      <c r="D30" s="14"/>
      <c r="E30"/>
      <c r="F30"/>
      <c r="G30"/>
    </row>
    <row r="31" spans="1:7" ht="27.5">
      <c r="A31" s="2"/>
      <c r="B31" s="76"/>
      <c r="C31" s="76"/>
      <c r="D31" s="76"/>
      <c r="E31" s="76"/>
      <c r="F31" s="76"/>
      <c r="G31" s="76"/>
    </row>
    <row r="32" spans="1:7" ht="29.5">
      <c r="A32" s="2" ph="1"/>
      <c r="B32" s="2" ph="1"/>
      <c r="C32" s="2" ph="1"/>
      <c r="D32" s="2" ph="1"/>
      <c r="E32" s="2" ph="1"/>
      <c r="F32" s="2" ph="1"/>
      <c r="G32" s="2" ph="1"/>
    </row>
    <row r="33" spans="1:7" ht="19.5">
      <c r="A33" s="2"/>
      <c r="B33" s="2"/>
      <c r="C33" s="2"/>
      <c r="D33" s="2"/>
      <c r="E33" s="2"/>
      <c r="F33" s="2"/>
      <c r="G33" s="2"/>
    </row>
    <row r="34" spans="1:7">
      <c r="D34" s="5"/>
      <c r="E34" s="5"/>
    </row>
    <row r="35" spans="1:7">
      <c r="D35" s="5"/>
      <c r="E35" s="5"/>
    </row>
    <row r="36" spans="1:7">
      <c r="D36" s="5"/>
      <c r="E36" s="5"/>
    </row>
    <row r="37" spans="1:7">
      <c r="D37" s="5"/>
      <c r="E37" s="5"/>
    </row>
    <row r="38" spans="1:7">
      <c r="D38" s="5"/>
      <c r="E38" s="5"/>
    </row>
    <row r="39" spans="1:7">
      <c r="D39" s="5"/>
      <c r="E39" s="5"/>
    </row>
    <row r="40" spans="1:7">
      <c r="D40" s="5"/>
      <c r="E40" s="5"/>
    </row>
    <row r="41" spans="1:7">
      <c r="D41" s="5"/>
      <c r="E41" s="5"/>
    </row>
    <row r="42" spans="1:7">
      <c r="D42" s="5"/>
      <c r="E42" s="5"/>
    </row>
    <row r="43" spans="1:7">
      <c r="D43" s="5"/>
      <c r="E43" s="5"/>
    </row>
    <row r="44" spans="1:7">
      <c r="D44" s="5"/>
      <c r="E44" s="5"/>
    </row>
    <row r="45" spans="1:7">
      <c r="D45" s="5"/>
      <c r="E45" s="5"/>
    </row>
    <row r="46" spans="1:7">
      <c r="D46" s="5"/>
      <c r="E46" s="5"/>
    </row>
    <row r="47" spans="1:7">
      <c r="D47" s="5"/>
      <c r="E47" s="5"/>
    </row>
    <row r="48" spans="1:7">
      <c r="D48" s="5"/>
      <c r="E48" s="5"/>
    </row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  <row r="442" s="5" customFormat="1"/>
    <row r="443" s="5" customFormat="1"/>
    <row r="444" s="5" customFormat="1"/>
    <row r="445" s="5" customFormat="1"/>
  </sheetData>
  <mergeCells count="28">
    <mergeCell ref="C27:G27"/>
    <mergeCell ref="B28:D28"/>
    <mergeCell ref="B29:D29"/>
    <mergeCell ref="B31:G31"/>
    <mergeCell ref="C22:G22"/>
    <mergeCell ref="C23:G23"/>
    <mergeCell ref="C24:D24"/>
    <mergeCell ref="C25:G25"/>
    <mergeCell ref="C26:G26"/>
    <mergeCell ref="C19:D19"/>
    <mergeCell ref="E19:F19"/>
    <mergeCell ref="C20:D20"/>
    <mergeCell ref="E20:F20"/>
    <mergeCell ref="C21:D21"/>
    <mergeCell ref="E21:F21"/>
    <mergeCell ref="F10:G10"/>
    <mergeCell ref="C11:D11"/>
    <mergeCell ref="C12:D12"/>
    <mergeCell ref="C16:D16"/>
    <mergeCell ref="C18:D18"/>
    <mergeCell ref="E18:F18"/>
    <mergeCell ref="C17:D17"/>
    <mergeCell ref="C7:D7"/>
    <mergeCell ref="F7:G7"/>
    <mergeCell ref="C8:D8"/>
    <mergeCell ref="F8:G8"/>
    <mergeCell ref="C9:D9"/>
    <mergeCell ref="F9:G9"/>
  </mergeCells>
  <phoneticPr fontId="3" type="noConversion"/>
  <pageMargins left="0.75" right="0.75" top="1" bottom="1" header="0.5" footer="0.5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 Kevin</vt:lpstr>
      <vt:lpstr>'系統報價 Kevin'!Print_Area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2025-07-21T03:33:51Z</cp:lastPrinted>
  <dcterms:created xsi:type="dcterms:W3CDTF">1999-12-09T02:36:51Z</dcterms:created>
  <dcterms:modified xsi:type="dcterms:W3CDTF">2025-07-21T04:11:41Z</dcterms:modified>
</cp:coreProperties>
</file>