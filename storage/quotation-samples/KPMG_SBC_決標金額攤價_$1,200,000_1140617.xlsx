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D7D597DD-39BE-4B98-9F43-26971D2D8064}" xr6:coauthVersionLast="47" xr6:coauthVersionMax="47" xr10:uidLastSave="{00000000-0000-0000-0000-000000000000}"/>
  <bookViews>
    <workbookView xWindow="-120" yWindow="-120" windowWidth="29040" windowHeight="15720" tabRatio="458" xr2:uid="{00000000-000D-0000-FFFF-FFFF00000000}"/>
  </bookViews>
  <sheets>
    <sheet name="系統報價" sheetId="7" r:id="rId1"/>
  </sheets>
  <definedNames>
    <definedName name="_xlnm.Print_Area" localSheetId="0">系統報價!$A$1:$G$33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7" l="1"/>
  <c r="G17" i="7" l="1"/>
  <c r="G16" i="7"/>
  <c r="G19" i="7"/>
  <c r="G20" i="7" l="1"/>
  <c r="G21" i="7" s="1"/>
  <c r="G22" i="7" s="1"/>
  <c r="G23" i="7" l="1"/>
</calcChain>
</file>

<file path=xl/sharedStrings.xml><?xml version="1.0" encoding="utf-8"?>
<sst xmlns="http://schemas.openxmlformats.org/spreadsheetml/2006/main" count="57" uniqueCount="57">
  <si>
    <t>數量</t>
  </si>
  <si>
    <t>項次</t>
    <phoneticPr fontId="3" type="noConversion"/>
  </si>
  <si>
    <t xml:space="preserve">  </t>
    <phoneticPr fontId="3" type="noConversion"/>
  </si>
  <si>
    <t>顯赫資訊股份有限公司</t>
    <phoneticPr fontId="2" type="noConversion"/>
  </si>
  <si>
    <t>規格</t>
    <phoneticPr fontId="2" type="noConversion"/>
  </si>
  <si>
    <t>Remark   :</t>
    <phoneticPr fontId="2" type="noConversion"/>
  </si>
  <si>
    <t>本報價單於取得客戶之同意簽章後，視為正式訂單即刻生效。</t>
    <phoneticPr fontId="4" type="noConversion"/>
  </si>
  <si>
    <t>註：</t>
    <phoneticPr fontId="4" type="noConversion"/>
  </si>
  <si>
    <t>保固條件：</t>
    <phoneticPr fontId="3" type="noConversion"/>
  </si>
  <si>
    <t>Signature</t>
    <phoneticPr fontId="3" type="noConversion"/>
  </si>
  <si>
    <t xml:space="preserve">報價日期  :    </t>
    <phoneticPr fontId="2" type="noConversion"/>
  </si>
  <si>
    <t>SUB TOTAL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</si>
  <si>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</si>
  <si>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</si>
  <si>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</si>
  <si>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含稅總計：</t>
    <phoneticPr fontId="3" type="noConversion"/>
  </si>
  <si>
    <t>未稅小計：</t>
    <phoneticPr fontId="3" type="noConversion"/>
  </si>
  <si>
    <t>5%營業稅：</t>
    <phoneticPr fontId="3" type="noConversion"/>
  </si>
  <si>
    <t>單價</t>
    <phoneticPr fontId="3" type="noConversion"/>
  </si>
  <si>
    <t>2.本報價僅適用於本專案</t>
    <phoneticPr fontId="2" type="noConversion"/>
  </si>
  <si>
    <t>02-8226-9200#140</t>
    <phoneticPr fontId="3" type="noConversion"/>
  </si>
  <si>
    <t>02-8226-9211</t>
    <phoneticPr fontId="3" type="noConversion"/>
  </si>
  <si>
    <t>專案</t>
    <phoneticPr fontId="3" type="noConversion"/>
  </si>
  <si>
    <t>2</t>
    <phoneticPr fontId="3" type="noConversion"/>
  </si>
  <si>
    <t>3</t>
    <phoneticPr fontId="3" type="noConversion"/>
  </si>
  <si>
    <t>SBC</t>
    <phoneticPr fontId="3" type="noConversion"/>
  </si>
  <si>
    <t>4</t>
    <phoneticPr fontId="3" type="noConversion"/>
  </si>
  <si>
    <t xml:space="preserve">教育訓練 </t>
    <phoneticPr fontId="3" type="noConversion"/>
  </si>
  <si>
    <t xml:space="preserve">8 HR 教育訓練 </t>
    <phoneticPr fontId="3" type="noConversion"/>
  </si>
  <si>
    <t xml:space="preserve">安侯企業管理股份有限公司 </t>
    <phoneticPr fontId="3" type="noConversion"/>
  </si>
  <si>
    <t xml:space="preserve">Ribbon Edge 8500 </t>
    <phoneticPr fontId="3" type="noConversion"/>
  </si>
  <si>
    <t>Rick Chen</t>
  </si>
  <si>
    <t>(02)8101-6666#13396</t>
  </si>
  <si>
    <t>rickchen@kpmg.com.tw</t>
  </si>
  <si>
    <t>地址：新北市中和區建一路166號13樓之3</t>
    <phoneticPr fontId="3" type="noConversion"/>
  </si>
  <si>
    <t>現場安裝支援</t>
    <phoneticPr fontId="3" type="noConversion"/>
  </si>
  <si>
    <t>Ribbon Edge 8500 系統
1.內建 SBC（Session Border Controller）與 L3 VPN 功能
2.共振多組號碼功能機制
3.支援 240 同時通話數
4.20路SIP通話授權
5.提供 8 組 T1/E1 數位外線
6. 4 x 10Gb SFP+ 光纖介面
7. 6 x 10/100/1000 Mbps RJ-45（可靈活配置為 LAN 或 WAN）
8.AC redundant power(含電源線)</t>
    <phoneticPr fontId="3" type="noConversion"/>
  </si>
  <si>
    <t>通話紀錄報表系統介面修改</t>
    <phoneticPr fontId="3" type="noConversion"/>
  </si>
  <si>
    <t>通話紀錄報表系統介面修改
程式修改工時一式</t>
    <phoneticPr fontId="3" type="noConversion"/>
  </si>
  <si>
    <t>提供現場安裝設定一式
1.中華電信（CHT）、台灣固網（TFN）、遠傳電信（FET）等三家電信業者之 E1 電路介接與配合電信業者 E1 線路切換等作業。
2. 與本所現有各據點 SBC、Avaya、語音及傳真系統之整合作業。
3.Teams 介接設定費用。
4.其他系統功能設定與測試。</t>
    <phoneticPr fontId="3" type="noConversion"/>
  </si>
  <si>
    <t>1. 報價單有效期限為 即日起三十日內(含假日)有效</t>
    <phoneticPr fontId="2" type="noConversion"/>
  </si>
  <si>
    <t>20250617-01</t>
    <phoneticPr fontId="3" type="noConversion"/>
  </si>
  <si>
    <t>保固一年，5x8 支援服務。</t>
    <phoneticPr fontId="3" type="noConversion"/>
  </si>
  <si>
    <t>統一編號：80426746</t>
    <phoneticPr fontId="3" type="noConversion"/>
  </si>
  <si>
    <t xml:space="preserve">聯  絡  人  :   </t>
    <phoneticPr fontId="3" type="noConversion"/>
  </si>
  <si>
    <t>林大志 0933-030309</t>
    <phoneticPr fontId="3" type="noConversion"/>
  </si>
  <si>
    <t xml:space="preserve">電    話    :  </t>
    <phoneticPr fontId="2" type="noConversion"/>
  </si>
  <si>
    <t xml:space="preserve">  傳    真    :    </t>
    <phoneticPr fontId="2" type="noConversion"/>
  </si>
  <si>
    <t>貴公司所詢問之產品,報價如下:</t>
    <phoneticPr fontId="3" type="noConversion"/>
  </si>
  <si>
    <t>單位：新台幣 元</t>
    <phoneticPr fontId="3" type="noConversion"/>
  </si>
  <si>
    <t>3.無備品服務，建議另外購買一套 Ribbon Edge 8500</t>
    <phoneticPr fontId="3" type="noConversion"/>
  </si>
  <si>
    <t xml:space="preserve">聯    絡  人:  </t>
    <phoneticPr fontId="3" type="noConversion"/>
  </si>
  <si>
    <t xml:space="preserve">公 司 名 稱:  </t>
    <phoneticPr fontId="2" type="noConversion"/>
  </si>
  <si>
    <t>聯 絡 電 話:</t>
    <phoneticPr fontId="3" type="noConversion"/>
  </si>
  <si>
    <t>行 動 電 話:</t>
    <phoneticPr fontId="3" type="noConversion"/>
  </si>
  <si>
    <t>E-Mail:</t>
    <phoneticPr fontId="3" type="noConversion"/>
  </si>
  <si>
    <t>專案類別: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</si>
</sst>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18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u/>
      <sz val="12"/>
      <color theme="1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b/>
      <sz val="26"/>
      <name val="微軟正黑體"/>
      <family val="2"/>
      <charset val="136"/>
    </font>
    <font>
      <b/>
      <sz val="20"/>
      <name val="微軟正黑體"/>
      <family val="2"/>
      <charset val="136"/>
    </font>
    <font>
      <sz val="20"/>
      <name val="微軟正黑體"/>
      <family val="2"/>
      <charset val="136"/>
    </font>
    <font>
      <u/>
      <sz val="18"/>
      <color theme="10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b/>
      <sz val="14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67">
    <xf numFmtId="0" fontId="0" fillId="0" borderId="0" xfId="0"/>
    <xf numFmtId="176" fontId="6" fillId="0" borderId="0" xfId="1" applyNumberFormat="1" applyFont="1" applyBorder="1" applyAlignment="1">
      <alignment horizontal="left"/>
    </xf>
    <xf numFmtId="0" fontId="5" fillId="0" borderId="8" xfId="0" applyFont="1" applyBorder="1" applyAlignment="1">
      <alignment horizontal="right" vertical="center"/>
    </xf>
    <xf numFmtId="177" fontId="5" fillId="0" borderId="3" xfId="1" applyNumberFormat="1" applyFont="1" applyFill="1" applyBorder="1" applyAlignment="1">
      <alignment horizontal="right" vertical="center" wrapText="1"/>
    </xf>
    <xf numFmtId="177" fontId="5" fillId="0" borderId="3" xfId="1" applyNumberFormat="1" applyFont="1" applyFill="1" applyBorder="1" applyAlignment="1">
      <alignment horizontal="right" vertical="center"/>
    </xf>
    <xf numFmtId="177" fontId="7" fillId="0" borderId="3" xfId="0" applyNumberFormat="1" applyFont="1" applyBorder="1" applyAlignment="1">
      <alignment horizontal="right" vertical="center"/>
    </xf>
    <xf numFmtId="177" fontId="5" fillId="0" borderId="3" xfId="0" applyNumberFormat="1" applyFont="1" applyBorder="1" applyAlignment="1">
      <alignment horizontal="right" vertical="center"/>
    </xf>
    <xf numFmtId="49" fontId="5" fillId="0" borderId="12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0" fontId="5" fillId="0" borderId="3" xfId="0" applyFont="1" applyBorder="1" applyAlignment="1">
      <alignment horizontal="right" vertical="center"/>
    </xf>
    <xf numFmtId="49" fontId="5" fillId="0" borderId="3" xfId="0" applyNumberFormat="1" applyFont="1" applyBorder="1" applyAlignment="1">
      <alignment horizontal="center" vertical="center" wrapText="1"/>
    </xf>
    <xf numFmtId="177" fontId="7" fillId="0" borderId="7" xfId="1" applyNumberFormat="1" applyFont="1" applyBorder="1" applyAlignment="1">
      <alignment horizontal="right"/>
    </xf>
    <xf numFmtId="177" fontId="5" fillId="3" borderId="3" xfId="1" applyNumberFormat="1" applyFont="1" applyFill="1" applyBorder="1" applyAlignment="1">
      <alignment horizontal="right" vertical="center"/>
    </xf>
    <xf numFmtId="0" fontId="5" fillId="0" borderId="0" xfId="0" applyFont="1"/>
    <xf numFmtId="49" fontId="5" fillId="0" borderId="4" xfId="1" applyNumberFormat="1" applyFont="1" applyFill="1" applyBorder="1" applyAlignment="1">
      <alignment horizontal="left" vertical="center" wrapText="1"/>
    </xf>
    <xf numFmtId="49" fontId="5" fillId="0" borderId="11" xfId="1" applyNumberFormat="1" applyFont="1" applyFill="1" applyBorder="1" applyAlignment="1">
      <alignment horizontal="left" vertical="center" wrapText="1"/>
    </xf>
    <xf numFmtId="49" fontId="5" fillId="0" borderId="4" xfId="3" applyNumberFormat="1" applyFont="1" applyFill="1" applyBorder="1" applyAlignment="1">
      <alignment horizontal="left" vertical="center" wrapText="1"/>
    </xf>
    <xf numFmtId="49" fontId="5" fillId="0" borderId="11" xfId="3" applyNumberFormat="1" applyFont="1" applyFill="1" applyBorder="1" applyAlignment="1">
      <alignment horizontal="left" vertical="center" wrapText="1"/>
    </xf>
    <xf numFmtId="49" fontId="5" fillId="0" borderId="3" xfId="1" applyNumberFormat="1" applyFont="1" applyFill="1" applyBorder="1" applyAlignment="1">
      <alignment horizontal="left" wrapText="1"/>
    </xf>
    <xf numFmtId="0" fontId="5" fillId="0" borderId="3" xfId="0" applyFont="1" applyBorder="1"/>
    <xf numFmtId="177" fontId="7" fillId="0" borderId="3" xfId="0" applyNumberFormat="1" applyFont="1" applyBorder="1" applyAlignment="1">
      <alignment horizontal="right" vertical="center"/>
    </xf>
    <xf numFmtId="177" fontId="7" fillId="0" borderId="3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horizontal="right" vertical="center"/>
    </xf>
    <xf numFmtId="177" fontId="5" fillId="0" borderId="3" xfId="0" applyNumberFormat="1" applyFont="1" applyBorder="1" applyAlignment="1">
      <alignment vertical="center"/>
    </xf>
    <xf numFmtId="177" fontId="7" fillId="0" borderId="5" xfId="1" applyNumberFormat="1" applyFont="1" applyFill="1" applyBorder="1" applyAlignment="1">
      <alignment horizontal="right" wrapText="1"/>
    </xf>
    <xf numFmtId="177" fontId="5" fillId="0" borderId="9" xfId="0" applyNumberFormat="1" applyFont="1" applyBorder="1"/>
    <xf numFmtId="49" fontId="5" fillId="0" borderId="0" xfId="1" applyNumberFormat="1" applyFont="1" applyFill="1" applyBorder="1" applyAlignment="1">
      <alignment horizontal="left" wrapText="1"/>
    </xf>
    <xf numFmtId="0" fontId="5" fillId="0" borderId="0" xfId="0" applyFont="1"/>
    <xf numFmtId="0" fontId="9" fillId="0" borderId="0" xfId="0" applyFont="1"/>
    <xf numFmtId="0" fontId="5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14" fontId="12" fillId="0" borderId="2" xfId="0" applyNumberFormat="1" applyFont="1" applyBorder="1"/>
    <xf numFmtId="58" fontId="12" fillId="0" borderId="2" xfId="0" applyNumberFormat="1" applyFont="1" applyBorder="1" applyAlignment="1">
      <alignment horizontal="right"/>
    </xf>
    <xf numFmtId="0" fontId="1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0" xfId="0" applyFont="1"/>
    <xf numFmtId="0" fontId="13" fillId="0" borderId="0" xfId="0" applyFont="1"/>
    <xf numFmtId="14" fontId="12" fillId="0" borderId="0" xfId="0" applyNumberFormat="1" applyFont="1"/>
    <xf numFmtId="0" fontId="12" fillId="0" borderId="0" xfId="0" applyFont="1" applyAlignment="1">
      <alignment horizontal="right"/>
    </xf>
    <xf numFmtId="0" fontId="10" fillId="0" borderId="0" xfId="0" applyFont="1"/>
    <xf numFmtId="0" fontId="12" fillId="0" borderId="0" xfId="0" applyFont="1"/>
    <xf numFmtId="49" fontId="13" fillId="0" borderId="0" xfId="0" applyNumberFormat="1" applyFont="1"/>
    <xf numFmtId="0" fontId="13" fillId="0" borderId="0" xfId="0" applyFont="1" applyAlignment="1">
      <alignment wrapText="1"/>
    </xf>
    <xf numFmtId="49" fontId="13" fillId="0" borderId="0" xfId="0" applyNumberFormat="1" applyFont="1" applyAlignment="1">
      <alignment wrapText="1"/>
    </xf>
    <xf numFmtId="49" fontId="14" fillId="0" borderId="0" xfId="2" applyNumberFormat="1" applyFont="1"/>
    <xf numFmtId="49" fontId="12" fillId="0" borderId="0" xfId="0" applyNumberFormat="1" applyFont="1" applyAlignment="1">
      <alignment horizontal="left"/>
    </xf>
    <xf numFmtId="0" fontId="15" fillId="0" borderId="0" xfId="0" applyFont="1"/>
    <xf numFmtId="0" fontId="16" fillId="0" borderId="0" xfId="0" applyFont="1"/>
    <xf numFmtId="0" fontId="10" fillId="0" borderId="0" xfId="0" applyFont="1" applyAlignment="1">
      <alignment wrapText="1"/>
    </xf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176" fontId="6" fillId="2" borderId="3" xfId="1" applyNumberFormat="1" applyFont="1" applyFill="1" applyBorder="1" applyAlignment="1">
      <alignment horizontal="left" wrapText="1"/>
    </xf>
    <xf numFmtId="0" fontId="10" fillId="0" borderId="3" xfId="0" applyFont="1" applyBorder="1"/>
    <xf numFmtId="176" fontId="6" fillId="2" borderId="3" xfId="1" applyNumberFormat="1" applyFont="1" applyFill="1" applyBorder="1" applyAlignment="1">
      <alignment horizontal="left" wrapText="1"/>
    </xf>
    <xf numFmtId="49" fontId="5" fillId="0" borderId="0" xfId="0" applyNumberFormat="1" applyFont="1" applyAlignment="1">
      <alignment horizontal="center"/>
    </xf>
    <xf numFmtId="0" fontId="13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6" fillId="0" borderId="10" xfId="0" applyFont="1" applyBorder="1" applyAlignment="1">
      <alignment horizontal="left"/>
    </xf>
    <xf numFmtId="0" fontId="10" fillId="0" borderId="10" xfId="0" applyFont="1" applyBorder="1"/>
    <xf numFmtId="0" fontId="5" fillId="0" borderId="0" xfId="0" applyFont="1" applyAlignment="1">
      <alignment horizontal="justify"/>
    </xf>
  </cellXfs>
  <cellStyles count="4">
    <cellStyle name="一般" xfId="0" builtinId="0"/>
    <cellStyle name="千分位" xfId="1" builtinId="3"/>
    <cellStyle name="千分位 2" xfId="3" xr:uid="{8EE034F6-F715-4217-BA74-F7F5DA046799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SpPr txBox="1">
          <a:spLocks noChangeArrowheads="1"/>
        </xdr:cNvSpPr>
      </xdr:nvSpPr>
      <xdr:spPr bwMode="auto">
        <a:xfrm>
          <a:off x="5210175" y="723900"/>
          <a:ext cx="1809750" cy="847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SpPr txBox="1">
          <a:spLocks noChangeArrowheads="1"/>
        </xdr:cNvSpPr>
      </xdr:nvSpPr>
      <xdr:spPr bwMode="auto">
        <a:xfrm>
          <a:off x="2581275" y="428625"/>
          <a:ext cx="512445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447"/>
  <sheetViews>
    <sheetView tabSelected="1" view="pageBreakPreview" zoomScale="75" zoomScaleNormal="75" zoomScaleSheetLayoutView="75" workbookViewId="0">
      <selection activeCell="I9" sqref="I9"/>
    </sheetView>
  </sheetViews>
  <sheetFormatPr defaultColWidth="9" defaultRowHeight="15.75" x14ac:dyDescent="0.25"/>
  <cols>
    <col min="1" max="1" width="7.375" style="31" customWidth="1"/>
    <col min="2" max="2" width="25.875" style="31" customWidth="1"/>
    <col min="3" max="3" width="30.125" style="31" customWidth="1"/>
    <col min="4" max="4" width="48.25" style="53" customWidth="1"/>
    <col min="5" max="5" width="20.5" style="53" customWidth="1"/>
    <col min="6" max="6" width="13" style="31" customWidth="1"/>
    <col min="7" max="7" width="21.125" style="31" customWidth="1"/>
    <col min="8" max="16384" width="9" style="31"/>
  </cols>
  <sheetData>
    <row r="3" spans="1:7" ht="21" x14ac:dyDescent="0.35">
      <c r="A3" s="29"/>
      <c r="B3" s="14"/>
      <c r="C3" s="14"/>
      <c r="D3" s="30"/>
      <c r="E3" s="30"/>
      <c r="F3" s="14"/>
      <c r="G3" s="14"/>
    </row>
    <row r="4" spans="1:7" s="31" customFormat="1" ht="46.5" ph="1" x14ac:dyDescent="0.55000000000000004">
      <c r="A4" s="29" t="s" ph="1">
        <v>2</v>
      </c>
      <c r="B4" s="14" ph="1"/>
      <c r="C4" s="14" ph="1"/>
      <c r="D4" s="30" ph="1"/>
      <c r="E4" s="32" t="s" ph="1">
        <v>3</v>
      </c>
      <c r="G4" s="32" ph="1"/>
    </row>
    <row r="5" spans="1:7" ht="21" x14ac:dyDescent="0.35">
      <c r="A5" s="29"/>
      <c r="B5" s="14"/>
      <c r="C5" s="14"/>
      <c r="D5" s="30"/>
      <c r="E5" s="14" t="s">
        <v>43</v>
      </c>
      <c r="G5" s="14"/>
    </row>
    <row r="6" spans="1:7" ht="21.75" thickBot="1" x14ac:dyDescent="0.4">
      <c r="A6" s="29"/>
      <c r="B6" s="33"/>
      <c r="C6" s="33"/>
      <c r="D6" s="34"/>
      <c r="E6" s="14" t="s">
        <v>34</v>
      </c>
      <c r="G6" s="14"/>
    </row>
    <row r="7" spans="1:7" s="41" customFormat="1" ht="32.25" customHeight="1" thickTop="1" ph="1" x14ac:dyDescent="0.45">
      <c r="A7" s="35" ph="1"/>
      <c r="B7" s="36" t="s" ph="1">
        <v>52</v>
      </c>
      <c r="C7" s="37" t="s" ph="1">
        <v>29</v>
      </c>
      <c r="D7" s="38"/>
      <c r="E7" s="39" t="s" ph="1">
        <v>10</v>
      </c>
      <c r="F7" s="40" t="s" ph="1">
        <v>41</v>
      </c>
      <c r="G7" s="40" ph="1"/>
    </row>
    <row r="8" spans="1:7" s="41" customFormat="1" ht="29.25" customHeight="1" ph="1" x14ac:dyDescent="0.45">
      <c r="A8" s="42" ph="1"/>
      <c r="B8" s="43" t="s" ph="1">
        <v>51</v>
      </c>
      <c r="C8" s="37" t="s" ph="1">
        <v>31</v>
      </c>
      <c r="D8" s="38"/>
      <c r="E8" s="39" t="s">
        <v>44</v>
      </c>
      <c r="F8" s="40" t="s">
        <v>45</v>
      </c>
      <c r="G8" s="44"/>
    </row>
    <row r="9" spans="1:7" s="41" customFormat="1" ht="27" x14ac:dyDescent="0.45">
      <c r="A9" s="45"/>
      <c r="B9" s="43" t="s">
        <v>53</v>
      </c>
      <c r="C9" s="46" t="s">
        <v>32</v>
      </c>
      <c r="D9" s="47"/>
      <c r="E9" s="39" t="s">
        <v>46</v>
      </c>
      <c r="F9" s="40" t="s">
        <v>20</v>
      </c>
      <c r="G9" s="40"/>
    </row>
    <row r="10" spans="1:7" s="41" customFormat="1" ht="32.1" customHeight="1" x14ac:dyDescent="0.45">
      <c r="A10" s="45"/>
      <c r="B10" s="43" t="s">
        <v>54</v>
      </c>
      <c r="C10" s="48"/>
      <c r="D10" s="47"/>
      <c r="E10" s="39" t="s">
        <v>47</v>
      </c>
      <c r="F10" s="40" t="s">
        <v>21</v>
      </c>
      <c r="G10" s="40"/>
    </row>
    <row r="11" spans="1:7" s="41" customFormat="1" ht="27" x14ac:dyDescent="0.45">
      <c r="A11" s="45"/>
      <c r="B11" s="43" t="s">
        <v>55</v>
      </c>
      <c r="C11" s="49" t="s">
        <v>33</v>
      </c>
      <c r="D11" s="47"/>
      <c r="E11" s="47"/>
    </row>
    <row r="12" spans="1:7" s="41" customFormat="1" ht="33" customHeight="1" ph="1" x14ac:dyDescent="0.45">
      <c r="A12" s="45" ph="1"/>
      <c r="B12" s="43" t="s">
        <v>56</v>
      </c>
      <c r="C12" s="41" t="s" ph="1">
        <v>25</v>
      </c>
      <c r="D12" s="47" ph="1"/>
      <c r="E12" s="47" ph="1"/>
      <c r="F12" s="45" ph="1"/>
      <c r="G12" s="45" ph="1"/>
    </row>
    <row r="13" spans="1:7" s="41" customFormat="1" ht="27" x14ac:dyDescent="0.45">
      <c r="A13" s="45"/>
      <c r="D13" s="47"/>
      <c r="E13" s="47"/>
      <c r="F13" s="45"/>
      <c r="G13" s="50"/>
    </row>
    <row r="14" spans="1:7" ht="30.75" x14ac:dyDescent="0.45">
      <c r="A14" s="51" t="s">
        <v>48</v>
      </c>
      <c r="B14" s="52"/>
      <c r="C14" s="52"/>
      <c r="F14" s="50" t="s">
        <v>49</v>
      </c>
    </row>
    <row r="15" spans="1:7" s="41" customFormat="1" ht="39.75" customHeight="1" x14ac:dyDescent="0.4">
      <c r="A15" s="54" t="s">
        <v>1</v>
      </c>
      <c r="B15" s="55" t="s">
        <v>14</v>
      </c>
      <c r="C15" s="56" t="s">
        <v>4</v>
      </c>
      <c r="D15" s="57"/>
      <c r="E15" s="58" t="s">
        <v>18</v>
      </c>
      <c r="F15" s="55" t="s">
        <v>0</v>
      </c>
      <c r="G15" s="55" t="s">
        <v>13</v>
      </c>
    </row>
    <row r="16" spans="1:7" ht="240.95" customHeight="1" x14ac:dyDescent="0.25">
      <c r="A16" s="11">
        <v>1</v>
      </c>
      <c r="B16" s="11" t="s">
        <v>30</v>
      </c>
      <c r="C16" s="15" t="s">
        <v>36</v>
      </c>
      <c r="D16" s="16"/>
      <c r="E16" s="3">
        <v>914286</v>
      </c>
      <c r="F16" s="4">
        <v>1</v>
      </c>
      <c r="G16" s="4">
        <f>SUM(E16*F16)</f>
        <v>914286</v>
      </c>
    </row>
    <row r="17" spans="1:7" ht="189.95" customHeight="1" x14ac:dyDescent="0.25">
      <c r="A17" s="11" t="s">
        <v>23</v>
      </c>
      <c r="B17" s="11" t="s">
        <v>35</v>
      </c>
      <c r="C17" s="17" t="s">
        <v>39</v>
      </c>
      <c r="D17" s="18"/>
      <c r="E17" s="3">
        <v>161905</v>
      </c>
      <c r="F17" s="4">
        <v>1</v>
      </c>
      <c r="G17" s="4">
        <f>SUM(E17*F17)</f>
        <v>161905</v>
      </c>
    </row>
    <row r="18" spans="1:7" ht="98.1" customHeight="1" x14ac:dyDescent="0.25">
      <c r="A18" s="11" t="s">
        <v>24</v>
      </c>
      <c r="B18" s="11" t="s">
        <v>37</v>
      </c>
      <c r="C18" s="15" t="s">
        <v>38</v>
      </c>
      <c r="D18" s="16"/>
      <c r="E18" s="3">
        <v>57143</v>
      </c>
      <c r="F18" s="13">
        <v>1</v>
      </c>
      <c r="G18" s="13">
        <f>SUM(E18*F18)</f>
        <v>57143</v>
      </c>
    </row>
    <row r="19" spans="1:7" ht="83.1" customHeight="1" x14ac:dyDescent="0.25">
      <c r="A19" s="11" t="s">
        <v>26</v>
      </c>
      <c r="B19" s="11" t="s">
        <v>27</v>
      </c>
      <c r="C19" s="15" t="s">
        <v>28</v>
      </c>
      <c r="D19" s="16"/>
      <c r="E19" s="3">
        <v>9523</v>
      </c>
      <c r="F19" s="4">
        <v>1</v>
      </c>
      <c r="G19" s="4">
        <f>SUM(E19*F19)</f>
        <v>9523</v>
      </c>
    </row>
    <row r="20" spans="1:7" ht="27.75" customHeight="1" x14ac:dyDescent="0.35">
      <c r="A20" s="7"/>
      <c r="B20" s="1"/>
      <c r="C20" s="27"/>
      <c r="D20" s="28"/>
      <c r="E20" s="25" t="s">
        <v>11</v>
      </c>
      <c r="F20" s="26"/>
      <c r="G20" s="12">
        <f>SUM(G16:G19)</f>
        <v>1142857</v>
      </c>
    </row>
    <row r="21" spans="1:7" ht="27.75" customHeight="1" x14ac:dyDescent="0.35">
      <c r="A21" s="2" t="s">
        <v>7</v>
      </c>
      <c r="B21" s="10" t="s">
        <v>8</v>
      </c>
      <c r="C21" s="19" t="s">
        <v>42</v>
      </c>
      <c r="D21" s="20"/>
      <c r="E21" s="23" t="s">
        <v>16</v>
      </c>
      <c r="F21" s="24"/>
      <c r="G21" s="6">
        <f>G20</f>
        <v>1142857</v>
      </c>
    </row>
    <row r="22" spans="1:7" ht="27.75" customHeight="1" x14ac:dyDescent="0.35">
      <c r="A22" s="8" ph="1"/>
      <c r="B22" s="10" t="s" ph="1">
        <v>12</v>
      </c>
      <c r="C22" s="19" t="s">
        <v>22</v>
      </c>
      <c r="D22" s="20"/>
      <c r="E22" s="21" t="s" ph="1">
        <v>17</v>
      </c>
      <c r="F22" s="22" ph="1"/>
      <c r="G22" s="6">
        <f>G21*0.05</f>
        <v>57142.850000000006</v>
      </c>
    </row>
    <row r="23" spans="1:7" ht="27.75" customHeight="1" x14ac:dyDescent="0.35">
      <c r="A23" s="9"/>
      <c r="B23" s="10"/>
      <c r="C23" s="19"/>
      <c r="D23" s="20"/>
      <c r="E23" s="21" t="s">
        <v>15</v>
      </c>
      <c r="F23" s="22"/>
      <c r="G23" s="5">
        <f>G21+G22</f>
        <v>1199999.8500000001</v>
      </c>
    </row>
    <row r="24" spans="1:7" ht="29.25" customHeight="1" x14ac:dyDescent="0.4">
      <c r="A24" s="59"/>
      <c r="B24" s="60" t="s">
        <v>5</v>
      </c>
      <c r="C24" s="61" t="s">
        <v>40</v>
      </c>
      <c r="D24" s="61"/>
      <c r="E24" s="61"/>
      <c r="F24" s="61"/>
      <c r="G24" s="61"/>
    </row>
    <row r="25" spans="1:7" ht="26.25" customHeight="1" x14ac:dyDescent="0.4">
      <c r="A25" s="59"/>
      <c r="B25" s="41"/>
      <c r="C25" s="61" t="s">
        <v>19</v>
      </c>
      <c r="D25" s="61"/>
      <c r="E25" s="29"/>
      <c r="F25" s="29"/>
      <c r="G25" s="29"/>
    </row>
    <row r="26" spans="1:7" s="31" customFormat="1" ht="26.25" customHeight="1" ph="1" x14ac:dyDescent="0.4">
      <c r="A26" s="59"/>
      <c r="B26" s="41"/>
      <c r="C26" s="62" t="s" ph="1">
        <v>50</v>
      </c>
      <c r="D26" s="62" ph="1"/>
      <c r="E26" s="62" ph="1"/>
      <c r="F26" s="62" ph="1"/>
      <c r="G26" s="62" ph="1"/>
    </row>
    <row r="27" spans="1:7" ht="31.5" customHeight="1" x14ac:dyDescent="0.4">
      <c r="A27" s="59"/>
      <c r="B27" s="41"/>
      <c r="C27" s="61" ph="1"/>
      <c r="D27" s="61" ph="1"/>
      <c r="E27" s="61" ph="1"/>
      <c r="F27" s="61" ph="1"/>
      <c r="G27" s="61" ph="1"/>
    </row>
    <row r="28" spans="1:7" s="31" customFormat="1" ht="31.5" customHeight="1" ph="1" x14ac:dyDescent="0.4">
      <c r="A28" s="59"/>
      <c r="B28" s="41"/>
      <c r="C28" s="61" ph="1"/>
      <c r="D28" s="61" ph="1"/>
      <c r="E28" s="61" ph="1"/>
      <c r="F28" s="61" ph="1"/>
      <c r="G28" s="61" ph="1"/>
    </row>
    <row r="29" spans="1:7" ht="31.5" customHeight="1" x14ac:dyDescent="0.4">
      <c r="A29" s="59"/>
      <c r="B29" s="41"/>
      <c r="C29" s="61" ph="1"/>
      <c r="D29" s="61" ph="1"/>
      <c r="E29" s="61" ph="1"/>
      <c r="F29" s="61" ph="1"/>
      <c r="G29" s="61" ph="1"/>
    </row>
    <row r="30" spans="1:7" s="31" customFormat="1" ht="31.5" customHeight="1" thickBot="1" ph="1" x14ac:dyDescent="0.35">
      <c r="A30" s="63"/>
      <c r="B30" s="64" t="s">
        <v>9</v>
      </c>
      <c r="C30" s="64"/>
      <c r="D30" s="65"/>
      <c r="E30" s="31"/>
      <c r="F30" s="31"/>
      <c r="G30" s="31"/>
    </row>
    <row r="31" spans="1:7" ht="31.5" customHeight="1" x14ac:dyDescent="0.35">
      <c r="A31" s="29"/>
      <c r="B31" s="66" t="s">
        <v>6</v>
      </c>
      <c r="C31" s="66"/>
      <c r="D31" s="44"/>
      <c r="E31" s="31"/>
    </row>
    <row r="32" spans="1:7" s="29" customFormat="1" ht="27.75" customHeight="1" x14ac:dyDescent="0.4">
      <c r="B32" s="47"/>
      <c r="C32" s="47"/>
      <c r="D32" s="47"/>
      <c r="E32" s="31"/>
      <c r="F32" s="31"/>
      <c r="G32" s="31"/>
    </row>
    <row r="33" spans="1:7" s="29" customFormat="1" ht="33" customHeight="1" x14ac:dyDescent="0.4">
      <c r="B33" s="37"/>
      <c r="C33" s="37"/>
      <c r="D33" s="37"/>
      <c r="E33" s="37"/>
      <c r="F33" s="37"/>
      <c r="G33" s="37"/>
    </row>
    <row r="34" spans="1:7" s="29" customFormat="1" ht="33" customHeight="1" x14ac:dyDescent="0.3">
      <c r="A34" s="29" ph="1"/>
      <c r="B34" s="29" ph="1"/>
      <c r="C34" s="29" ph="1"/>
      <c r="D34" s="29" ph="1"/>
      <c r="E34" s="29" ph="1"/>
      <c r="F34" s="29" ph="1"/>
      <c r="G34" s="29" ph="1"/>
    </row>
    <row r="35" spans="1:7" s="29" customFormat="1" ht="47.25" customHeight="1" x14ac:dyDescent="0.3"/>
    <row r="36" spans="1:7" s="29" customFormat="1" ht="45" customHeight="1" ph="1" x14ac:dyDescent="0.3">
      <c r="A36" s="31"/>
      <c r="B36" s="31"/>
      <c r="C36" s="31"/>
      <c r="D36" s="31"/>
      <c r="E36" s="31"/>
      <c r="F36" s="31"/>
      <c r="G36" s="31"/>
    </row>
    <row r="37" spans="1:7" s="29" customFormat="1" ht="18.75" x14ac:dyDescent="0.3">
      <c r="A37" s="31"/>
      <c r="B37" s="31"/>
      <c r="C37" s="31"/>
      <c r="D37" s="31"/>
      <c r="E37" s="31"/>
      <c r="F37" s="31"/>
      <c r="G37" s="31"/>
    </row>
    <row r="38" spans="1:7" x14ac:dyDescent="0.25">
      <c r="D38" s="31"/>
      <c r="E38" s="31"/>
    </row>
    <row r="39" spans="1:7" x14ac:dyDescent="0.25">
      <c r="D39" s="31"/>
      <c r="E39" s="31"/>
    </row>
    <row r="40" spans="1:7" x14ac:dyDescent="0.25">
      <c r="D40" s="31"/>
      <c r="E40" s="31"/>
    </row>
    <row r="41" spans="1:7" x14ac:dyDescent="0.25">
      <c r="D41" s="31"/>
      <c r="E41" s="31"/>
    </row>
    <row r="42" spans="1:7" x14ac:dyDescent="0.25">
      <c r="D42" s="31"/>
      <c r="E42" s="31"/>
    </row>
    <row r="43" spans="1:7" x14ac:dyDescent="0.25">
      <c r="D43" s="31"/>
      <c r="E43" s="31"/>
    </row>
    <row r="44" spans="1:7" x14ac:dyDescent="0.25">
      <c r="D44" s="31"/>
      <c r="E44" s="31"/>
    </row>
    <row r="45" spans="1:7" x14ac:dyDescent="0.25">
      <c r="D45" s="31"/>
      <c r="E45" s="31"/>
    </row>
    <row r="46" spans="1:7" x14ac:dyDescent="0.25">
      <c r="D46" s="31"/>
      <c r="E46" s="31"/>
    </row>
    <row r="47" spans="1:7" x14ac:dyDescent="0.25">
      <c r="D47" s="31"/>
      <c r="E47" s="31"/>
    </row>
    <row r="48" spans="1:7" x14ac:dyDescent="0.25">
      <c r="D48" s="31"/>
      <c r="E48" s="31"/>
    </row>
    <row r="49" s="31" customFormat="1" x14ac:dyDescent="0.25"/>
    <row r="50" s="31" customFormat="1" x14ac:dyDescent="0.25"/>
    <row r="51" s="31" customFormat="1" x14ac:dyDescent="0.25"/>
    <row r="52" s="31" customFormat="1" x14ac:dyDescent="0.25"/>
    <row r="53" s="31" customFormat="1" x14ac:dyDescent="0.25"/>
    <row r="54" s="31" customFormat="1" x14ac:dyDescent="0.25"/>
    <row r="55" s="31" customFormat="1" x14ac:dyDescent="0.25"/>
    <row r="56" s="31" customFormat="1" x14ac:dyDescent="0.25"/>
    <row r="57" s="31" customFormat="1" x14ac:dyDescent="0.25"/>
    <row r="58" s="31" customFormat="1" x14ac:dyDescent="0.25"/>
    <row r="59" s="31" customFormat="1" x14ac:dyDescent="0.25"/>
    <row r="60" s="31" customFormat="1" x14ac:dyDescent="0.25"/>
    <row r="61" s="31" customFormat="1" x14ac:dyDescent="0.25"/>
    <row r="62" s="31" customFormat="1" x14ac:dyDescent="0.25"/>
    <row r="63" s="31" customFormat="1" x14ac:dyDescent="0.25"/>
    <row r="64" s="31" customFormat="1" x14ac:dyDescent="0.25"/>
    <row r="65" s="31" customFormat="1" x14ac:dyDescent="0.25"/>
    <row r="66" s="31" customFormat="1" x14ac:dyDescent="0.25"/>
    <row r="67" s="31" customFormat="1" x14ac:dyDescent="0.25"/>
    <row r="68" s="31" customFormat="1" x14ac:dyDescent="0.25"/>
    <row r="69" s="31" customFormat="1" x14ac:dyDescent="0.25"/>
    <row r="70" s="31" customFormat="1" x14ac:dyDescent="0.25"/>
    <row r="71" s="31" customFormat="1" x14ac:dyDescent="0.25"/>
    <row r="72" s="31" customFormat="1" x14ac:dyDescent="0.25"/>
    <row r="73" s="31" customFormat="1" x14ac:dyDescent="0.25"/>
    <row r="74" s="31" customFormat="1" x14ac:dyDescent="0.25"/>
    <row r="75" s="31" customFormat="1" x14ac:dyDescent="0.25"/>
    <row r="76" s="31" customFormat="1" x14ac:dyDescent="0.25"/>
    <row r="77" s="31" customFormat="1" x14ac:dyDescent="0.25"/>
    <row r="78" s="31" customFormat="1" x14ac:dyDescent="0.25"/>
    <row r="79" s="31" customFormat="1" x14ac:dyDescent="0.25"/>
    <row r="80" s="31" customFormat="1" x14ac:dyDescent="0.25"/>
    <row r="81" s="31" customFormat="1" x14ac:dyDescent="0.25"/>
    <row r="82" s="31" customFormat="1" x14ac:dyDescent="0.25"/>
    <row r="83" s="31" customFormat="1" x14ac:dyDescent="0.25"/>
    <row r="84" s="31" customFormat="1" x14ac:dyDescent="0.25"/>
    <row r="85" s="31" customFormat="1" x14ac:dyDescent="0.25"/>
    <row r="86" s="31" customFormat="1" x14ac:dyDescent="0.25"/>
    <row r="87" s="31" customFormat="1" x14ac:dyDescent="0.25"/>
    <row r="88" s="31" customFormat="1" x14ac:dyDescent="0.25"/>
    <row r="89" s="31" customFormat="1" x14ac:dyDescent="0.25"/>
    <row r="90" s="31" customFormat="1" x14ac:dyDescent="0.25"/>
    <row r="91" s="31" customFormat="1" x14ac:dyDescent="0.25"/>
    <row r="92" s="31" customFormat="1" x14ac:dyDescent="0.25"/>
    <row r="93" s="31" customFormat="1" x14ac:dyDescent="0.25"/>
    <row r="94" s="31" customFormat="1" x14ac:dyDescent="0.25"/>
    <row r="95" s="31" customFormat="1" x14ac:dyDescent="0.25"/>
    <row r="96" s="31" customFormat="1" x14ac:dyDescent="0.25"/>
    <row r="97" s="31" customFormat="1" x14ac:dyDescent="0.25"/>
    <row r="98" s="31" customFormat="1" x14ac:dyDescent="0.25"/>
    <row r="99" s="31" customFormat="1" x14ac:dyDescent="0.25"/>
    <row r="100" s="31" customFormat="1" x14ac:dyDescent="0.25"/>
    <row r="101" s="31" customFormat="1" x14ac:dyDescent="0.25"/>
    <row r="102" s="31" customFormat="1" x14ac:dyDescent="0.25"/>
    <row r="103" s="31" customFormat="1" x14ac:dyDescent="0.25"/>
    <row r="104" s="31" customFormat="1" x14ac:dyDescent="0.25"/>
    <row r="105" s="31" customFormat="1" x14ac:dyDescent="0.25"/>
    <row r="106" s="31" customFormat="1" x14ac:dyDescent="0.25"/>
    <row r="107" s="31" customFormat="1" x14ac:dyDescent="0.25"/>
    <row r="108" s="31" customFormat="1" x14ac:dyDescent="0.25"/>
    <row r="109" s="31" customFormat="1" x14ac:dyDescent="0.25"/>
    <row r="110" s="31" customFormat="1" x14ac:dyDescent="0.25"/>
    <row r="111" s="31" customFormat="1" x14ac:dyDescent="0.25"/>
    <row r="112" s="31" customFormat="1" x14ac:dyDescent="0.25"/>
    <row r="113" s="31" customFormat="1" x14ac:dyDescent="0.25"/>
    <row r="114" s="31" customFormat="1" x14ac:dyDescent="0.25"/>
    <row r="115" s="31" customFormat="1" x14ac:dyDescent="0.25"/>
    <row r="116" s="31" customFormat="1" x14ac:dyDescent="0.25"/>
    <row r="117" s="31" customFormat="1" x14ac:dyDescent="0.25"/>
    <row r="118" s="31" customFormat="1" x14ac:dyDescent="0.25"/>
    <row r="119" s="31" customFormat="1" x14ac:dyDescent="0.25"/>
    <row r="120" s="31" customFormat="1" x14ac:dyDescent="0.25"/>
    <row r="121" s="31" customFormat="1" x14ac:dyDescent="0.25"/>
    <row r="122" s="31" customFormat="1" x14ac:dyDescent="0.25"/>
    <row r="123" s="31" customFormat="1" x14ac:dyDescent="0.25"/>
    <row r="124" s="31" customFormat="1" x14ac:dyDescent="0.25"/>
    <row r="125" s="31" customFormat="1" x14ac:dyDescent="0.25"/>
    <row r="126" s="31" customFormat="1" x14ac:dyDescent="0.25"/>
    <row r="127" s="31" customFormat="1" x14ac:dyDescent="0.25"/>
    <row r="128" s="31" customFormat="1" x14ac:dyDescent="0.25"/>
    <row r="129" s="31" customFormat="1" x14ac:dyDescent="0.25"/>
    <row r="130" s="31" customFormat="1" x14ac:dyDescent="0.25"/>
    <row r="131" s="31" customFormat="1" x14ac:dyDescent="0.25"/>
    <row r="132" s="31" customFormat="1" x14ac:dyDescent="0.25"/>
    <row r="133" s="31" customFormat="1" x14ac:dyDescent="0.25"/>
    <row r="134" s="31" customFormat="1" x14ac:dyDescent="0.25"/>
    <row r="135" s="31" customFormat="1" x14ac:dyDescent="0.25"/>
    <row r="136" s="31" customFormat="1" x14ac:dyDescent="0.25"/>
    <row r="137" s="31" customFormat="1" x14ac:dyDescent="0.25"/>
    <row r="138" s="31" customFormat="1" x14ac:dyDescent="0.25"/>
    <row r="139" s="31" customFormat="1" x14ac:dyDescent="0.25"/>
    <row r="140" s="31" customFormat="1" x14ac:dyDescent="0.25"/>
    <row r="141" s="31" customFormat="1" x14ac:dyDescent="0.25"/>
    <row r="142" s="31" customFormat="1" x14ac:dyDescent="0.25"/>
    <row r="143" s="31" customFormat="1" x14ac:dyDescent="0.25"/>
    <row r="144" s="31" customFormat="1" x14ac:dyDescent="0.25"/>
    <row r="145" s="31" customFormat="1" x14ac:dyDescent="0.25"/>
    <row r="146" s="31" customFormat="1" x14ac:dyDescent="0.25"/>
    <row r="147" s="31" customFormat="1" x14ac:dyDescent="0.25"/>
    <row r="148" s="31" customFormat="1" x14ac:dyDescent="0.25"/>
    <row r="149" s="31" customFormat="1" x14ac:dyDescent="0.25"/>
    <row r="150" s="31" customFormat="1" x14ac:dyDescent="0.25"/>
    <row r="151" s="31" customFormat="1" x14ac:dyDescent="0.25"/>
    <row r="152" s="31" customFormat="1" x14ac:dyDescent="0.25"/>
    <row r="153" s="31" customFormat="1" x14ac:dyDescent="0.25"/>
    <row r="154" s="31" customFormat="1" x14ac:dyDescent="0.25"/>
    <row r="155" s="31" customFormat="1" x14ac:dyDescent="0.25"/>
    <row r="156" s="31" customFormat="1" x14ac:dyDescent="0.25"/>
    <row r="157" s="31" customFormat="1" x14ac:dyDescent="0.25"/>
    <row r="158" s="31" customFormat="1" x14ac:dyDescent="0.25"/>
    <row r="159" s="31" customFormat="1" x14ac:dyDescent="0.25"/>
    <row r="160" s="31" customFormat="1" x14ac:dyDescent="0.25"/>
    <row r="161" s="31" customFormat="1" x14ac:dyDescent="0.25"/>
    <row r="162" s="31" customFormat="1" x14ac:dyDescent="0.25"/>
    <row r="163" s="31" customFormat="1" x14ac:dyDescent="0.25"/>
    <row r="164" s="31" customFormat="1" x14ac:dyDescent="0.25"/>
    <row r="165" s="31" customFormat="1" x14ac:dyDescent="0.25"/>
    <row r="166" s="31" customFormat="1" x14ac:dyDescent="0.25"/>
    <row r="167" s="31" customFormat="1" x14ac:dyDescent="0.25"/>
    <row r="168" s="31" customFormat="1" x14ac:dyDescent="0.25"/>
    <row r="169" s="31" customFormat="1" x14ac:dyDescent="0.25"/>
    <row r="170" s="31" customFormat="1" x14ac:dyDescent="0.25"/>
    <row r="171" s="31" customFormat="1" x14ac:dyDescent="0.25"/>
    <row r="172" s="31" customFormat="1" x14ac:dyDescent="0.25"/>
    <row r="173" s="31" customFormat="1" x14ac:dyDescent="0.25"/>
    <row r="174" s="31" customFormat="1" x14ac:dyDescent="0.25"/>
    <row r="175" s="31" customFormat="1" x14ac:dyDescent="0.25"/>
    <row r="176" s="31" customFormat="1" x14ac:dyDescent="0.25"/>
    <row r="177" s="31" customFormat="1" x14ac:dyDescent="0.25"/>
    <row r="178" s="31" customFormat="1" x14ac:dyDescent="0.25"/>
    <row r="179" s="31" customFormat="1" x14ac:dyDescent="0.25"/>
    <row r="180" s="31" customFormat="1" x14ac:dyDescent="0.25"/>
    <row r="181" s="31" customFormat="1" x14ac:dyDescent="0.25"/>
    <row r="182" s="31" customFormat="1" x14ac:dyDescent="0.25"/>
    <row r="183" s="31" customFormat="1" x14ac:dyDescent="0.25"/>
    <row r="184" s="31" customFormat="1" x14ac:dyDescent="0.25"/>
    <row r="185" s="31" customFormat="1" x14ac:dyDescent="0.25"/>
    <row r="186" s="31" customFormat="1" x14ac:dyDescent="0.25"/>
    <row r="187" s="31" customFormat="1" x14ac:dyDescent="0.25"/>
    <row r="188" s="31" customFormat="1" x14ac:dyDescent="0.25"/>
    <row r="189" s="31" customFormat="1" x14ac:dyDescent="0.25"/>
    <row r="190" s="31" customFormat="1" x14ac:dyDescent="0.25"/>
    <row r="191" s="31" customFormat="1" x14ac:dyDescent="0.25"/>
    <row r="192" s="31" customFormat="1" x14ac:dyDescent="0.25"/>
    <row r="193" s="31" customFormat="1" x14ac:dyDescent="0.25"/>
    <row r="194" s="31" customFormat="1" x14ac:dyDescent="0.25"/>
    <row r="195" s="31" customFormat="1" x14ac:dyDescent="0.25"/>
    <row r="196" s="31" customFormat="1" x14ac:dyDescent="0.25"/>
    <row r="197" s="31" customFormat="1" x14ac:dyDescent="0.25"/>
    <row r="198" s="31" customFormat="1" x14ac:dyDescent="0.25"/>
    <row r="199" s="31" customFormat="1" x14ac:dyDescent="0.25"/>
    <row r="200" s="31" customFormat="1" x14ac:dyDescent="0.25"/>
    <row r="201" s="31" customFormat="1" x14ac:dyDescent="0.25"/>
    <row r="202" s="31" customFormat="1" x14ac:dyDescent="0.25"/>
    <row r="203" s="31" customFormat="1" x14ac:dyDescent="0.25"/>
    <row r="204" s="31" customFormat="1" x14ac:dyDescent="0.25"/>
    <row r="205" s="31" customFormat="1" x14ac:dyDescent="0.25"/>
    <row r="206" s="31" customFormat="1" x14ac:dyDescent="0.25"/>
    <row r="207" s="31" customFormat="1" x14ac:dyDescent="0.25"/>
    <row r="208" s="31" customFormat="1" x14ac:dyDescent="0.25"/>
    <row r="209" s="31" customFormat="1" x14ac:dyDescent="0.25"/>
    <row r="210" s="31" customFormat="1" x14ac:dyDescent="0.25"/>
    <row r="211" s="31" customFormat="1" x14ac:dyDescent="0.25"/>
    <row r="212" s="31" customFormat="1" x14ac:dyDescent="0.25"/>
    <row r="213" s="31" customFormat="1" x14ac:dyDescent="0.25"/>
    <row r="214" s="31" customFormat="1" x14ac:dyDescent="0.25"/>
    <row r="215" s="31" customFormat="1" x14ac:dyDescent="0.25"/>
    <row r="216" s="31" customFormat="1" x14ac:dyDescent="0.25"/>
    <row r="217" s="31" customFormat="1" x14ac:dyDescent="0.25"/>
    <row r="218" s="31" customFormat="1" x14ac:dyDescent="0.25"/>
    <row r="219" s="31" customFormat="1" x14ac:dyDescent="0.25"/>
    <row r="220" s="31" customFormat="1" x14ac:dyDescent="0.25"/>
    <row r="221" s="31" customFormat="1" x14ac:dyDescent="0.25"/>
    <row r="222" s="31" customFormat="1" x14ac:dyDescent="0.25"/>
    <row r="223" s="31" customFormat="1" x14ac:dyDescent="0.25"/>
    <row r="224" s="31" customFormat="1" x14ac:dyDescent="0.25"/>
    <row r="225" s="31" customFormat="1" x14ac:dyDescent="0.25"/>
    <row r="226" s="31" customFormat="1" x14ac:dyDescent="0.25"/>
    <row r="227" s="31" customFormat="1" x14ac:dyDescent="0.25"/>
    <row r="228" s="31" customFormat="1" x14ac:dyDescent="0.25"/>
    <row r="229" s="31" customFormat="1" x14ac:dyDescent="0.25"/>
    <row r="230" s="31" customFormat="1" x14ac:dyDescent="0.25"/>
    <row r="231" s="31" customFormat="1" x14ac:dyDescent="0.25"/>
    <row r="232" s="31" customFormat="1" x14ac:dyDescent="0.25"/>
    <row r="233" s="31" customFormat="1" x14ac:dyDescent="0.25"/>
    <row r="234" s="31" customFormat="1" x14ac:dyDescent="0.25"/>
    <row r="235" s="31" customFormat="1" x14ac:dyDescent="0.25"/>
    <row r="236" s="31" customFormat="1" x14ac:dyDescent="0.25"/>
    <row r="237" s="31" customFormat="1" x14ac:dyDescent="0.25"/>
    <row r="238" s="31" customFormat="1" x14ac:dyDescent="0.25"/>
    <row r="239" s="31" customFormat="1" x14ac:dyDescent="0.25"/>
    <row r="240" s="31" customFormat="1" x14ac:dyDescent="0.25"/>
    <row r="241" s="31" customFormat="1" x14ac:dyDescent="0.25"/>
    <row r="242" s="31" customFormat="1" x14ac:dyDescent="0.25"/>
    <row r="243" s="31" customFormat="1" x14ac:dyDescent="0.25"/>
    <row r="244" s="31" customFormat="1" x14ac:dyDescent="0.25"/>
    <row r="245" s="31" customFormat="1" x14ac:dyDescent="0.25"/>
    <row r="246" s="31" customFormat="1" x14ac:dyDescent="0.25"/>
    <row r="247" s="31" customFormat="1" x14ac:dyDescent="0.25"/>
    <row r="248" s="31" customFormat="1" x14ac:dyDescent="0.25"/>
    <row r="249" s="31" customFormat="1" x14ac:dyDescent="0.25"/>
    <row r="250" s="31" customFormat="1" x14ac:dyDescent="0.25"/>
    <row r="251" s="31" customFormat="1" x14ac:dyDescent="0.25"/>
    <row r="252" s="31" customFormat="1" x14ac:dyDescent="0.25"/>
    <row r="253" s="31" customFormat="1" x14ac:dyDescent="0.25"/>
    <row r="254" s="31" customFormat="1" x14ac:dyDescent="0.25"/>
    <row r="255" s="31" customFormat="1" x14ac:dyDescent="0.25"/>
    <row r="256" s="31" customFormat="1" x14ac:dyDescent="0.25"/>
    <row r="257" s="31" customFormat="1" x14ac:dyDescent="0.25"/>
    <row r="258" s="31" customFormat="1" x14ac:dyDescent="0.25"/>
    <row r="259" s="31" customFormat="1" x14ac:dyDescent="0.25"/>
    <row r="260" s="31" customFormat="1" x14ac:dyDescent="0.25"/>
    <row r="261" s="31" customFormat="1" x14ac:dyDescent="0.25"/>
    <row r="262" s="31" customFormat="1" x14ac:dyDescent="0.25"/>
    <row r="263" s="31" customFormat="1" x14ac:dyDescent="0.25"/>
    <row r="264" s="31" customFormat="1" x14ac:dyDescent="0.25"/>
    <row r="265" s="31" customFormat="1" x14ac:dyDescent="0.25"/>
    <row r="266" s="31" customFormat="1" x14ac:dyDescent="0.25"/>
    <row r="267" s="31" customFormat="1" x14ac:dyDescent="0.25"/>
    <row r="268" s="31" customFormat="1" x14ac:dyDescent="0.25"/>
    <row r="269" s="31" customFormat="1" x14ac:dyDescent="0.25"/>
    <row r="270" s="31" customFormat="1" x14ac:dyDescent="0.25"/>
    <row r="271" s="31" customFormat="1" x14ac:dyDescent="0.25"/>
    <row r="272" s="31" customFormat="1" x14ac:dyDescent="0.25"/>
    <row r="273" s="31" customFormat="1" x14ac:dyDescent="0.25"/>
    <row r="274" s="31" customFormat="1" x14ac:dyDescent="0.25"/>
    <row r="275" s="31" customFormat="1" x14ac:dyDescent="0.25"/>
    <row r="276" s="31" customFormat="1" x14ac:dyDescent="0.25"/>
    <row r="277" s="31" customFormat="1" x14ac:dyDescent="0.25"/>
    <row r="278" s="31" customFormat="1" x14ac:dyDescent="0.25"/>
    <row r="279" s="31" customFormat="1" x14ac:dyDescent="0.25"/>
    <row r="280" s="31" customFormat="1" x14ac:dyDescent="0.25"/>
    <row r="281" s="31" customFormat="1" x14ac:dyDescent="0.25"/>
    <row r="282" s="31" customFormat="1" x14ac:dyDescent="0.25"/>
    <row r="283" s="31" customFormat="1" x14ac:dyDescent="0.25"/>
    <row r="284" s="31" customFormat="1" x14ac:dyDescent="0.25"/>
    <row r="285" s="31" customFormat="1" x14ac:dyDescent="0.25"/>
    <row r="286" s="31" customFormat="1" x14ac:dyDescent="0.25"/>
    <row r="287" s="31" customFormat="1" x14ac:dyDescent="0.25"/>
    <row r="288" s="31" customFormat="1" x14ac:dyDescent="0.25"/>
    <row r="289" s="31" customFormat="1" x14ac:dyDescent="0.25"/>
    <row r="290" s="31" customFormat="1" x14ac:dyDescent="0.25"/>
    <row r="291" s="31" customFormat="1" x14ac:dyDescent="0.25"/>
    <row r="292" s="31" customFormat="1" x14ac:dyDescent="0.25"/>
    <row r="293" s="31" customFormat="1" x14ac:dyDescent="0.25"/>
    <row r="294" s="31" customFormat="1" x14ac:dyDescent="0.25"/>
    <row r="295" s="31" customFormat="1" x14ac:dyDescent="0.25"/>
    <row r="296" s="31" customFormat="1" x14ac:dyDescent="0.25"/>
    <row r="297" s="31" customFormat="1" x14ac:dyDescent="0.25"/>
    <row r="298" s="31" customFormat="1" x14ac:dyDescent="0.25"/>
    <row r="299" s="31" customFormat="1" x14ac:dyDescent="0.25"/>
    <row r="300" s="31" customFormat="1" x14ac:dyDescent="0.25"/>
    <row r="301" s="31" customFormat="1" x14ac:dyDescent="0.25"/>
    <row r="302" s="31" customFormat="1" x14ac:dyDescent="0.25"/>
    <row r="303" s="31" customFormat="1" x14ac:dyDescent="0.25"/>
    <row r="304" s="31" customFormat="1" x14ac:dyDescent="0.25"/>
    <row r="305" s="31" customFormat="1" x14ac:dyDescent="0.25"/>
    <row r="306" s="31" customFormat="1" x14ac:dyDescent="0.25"/>
    <row r="307" s="31" customFormat="1" x14ac:dyDescent="0.25"/>
    <row r="308" s="31" customFormat="1" x14ac:dyDescent="0.25"/>
    <row r="309" s="31" customFormat="1" x14ac:dyDescent="0.25"/>
    <row r="310" s="31" customFormat="1" x14ac:dyDescent="0.25"/>
    <row r="311" s="31" customFormat="1" x14ac:dyDescent="0.25"/>
    <row r="312" s="31" customFormat="1" x14ac:dyDescent="0.25"/>
    <row r="313" s="31" customFormat="1" x14ac:dyDescent="0.25"/>
    <row r="314" s="31" customFormat="1" x14ac:dyDescent="0.25"/>
    <row r="315" s="31" customFormat="1" x14ac:dyDescent="0.25"/>
    <row r="316" s="31" customFormat="1" x14ac:dyDescent="0.25"/>
    <row r="317" s="31" customFormat="1" x14ac:dyDescent="0.25"/>
    <row r="318" s="31" customFormat="1" x14ac:dyDescent="0.25"/>
    <row r="319" s="31" customFormat="1" x14ac:dyDescent="0.25"/>
    <row r="320" s="31" customFormat="1" x14ac:dyDescent="0.25"/>
    <row r="321" s="31" customFormat="1" x14ac:dyDescent="0.25"/>
    <row r="322" s="31" customFormat="1" x14ac:dyDescent="0.25"/>
    <row r="323" s="31" customFormat="1" x14ac:dyDescent="0.25"/>
    <row r="324" s="31" customFormat="1" x14ac:dyDescent="0.25"/>
    <row r="325" s="31" customFormat="1" x14ac:dyDescent="0.25"/>
    <row r="326" s="31" customFormat="1" x14ac:dyDescent="0.25"/>
    <row r="327" s="31" customFormat="1" x14ac:dyDescent="0.25"/>
    <row r="328" s="31" customFormat="1" x14ac:dyDescent="0.25"/>
    <row r="329" s="31" customFormat="1" x14ac:dyDescent="0.25"/>
    <row r="330" s="31" customFormat="1" x14ac:dyDescent="0.25"/>
    <row r="331" s="31" customFormat="1" x14ac:dyDescent="0.25"/>
    <row r="332" s="31" customFormat="1" x14ac:dyDescent="0.25"/>
    <row r="333" s="31" customFormat="1" x14ac:dyDescent="0.25"/>
    <row r="334" s="31" customFormat="1" x14ac:dyDescent="0.25"/>
    <row r="335" s="31" customFormat="1" x14ac:dyDescent="0.25"/>
    <row r="336" s="31" customFormat="1" x14ac:dyDescent="0.25"/>
    <row r="337" s="31" customFormat="1" x14ac:dyDescent="0.25"/>
    <row r="338" s="31" customFormat="1" x14ac:dyDescent="0.25"/>
    <row r="339" s="31" customFormat="1" x14ac:dyDescent="0.25"/>
    <row r="340" s="31" customFormat="1" x14ac:dyDescent="0.25"/>
    <row r="341" s="31" customFormat="1" x14ac:dyDescent="0.25"/>
    <row r="342" s="31" customFormat="1" x14ac:dyDescent="0.25"/>
    <row r="343" s="31" customFormat="1" x14ac:dyDescent="0.25"/>
    <row r="344" s="31" customFormat="1" x14ac:dyDescent="0.25"/>
    <row r="345" s="31" customFormat="1" x14ac:dyDescent="0.25"/>
    <row r="346" s="31" customFormat="1" x14ac:dyDescent="0.25"/>
    <row r="347" s="31" customFormat="1" x14ac:dyDescent="0.25"/>
    <row r="348" s="31" customFormat="1" x14ac:dyDescent="0.25"/>
    <row r="349" s="31" customFormat="1" x14ac:dyDescent="0.25"/>
    <row r="350" s="31" customFormat="1" x14ac:dyDescent="0.25"/>
    <row r="351" s="31" customFormat="1" x14ac:dyDescent="0.25"/>
    <row r="352" s="31" customFormat="1" x14ac:dyDescent="0.25"/>
    <row r="353" s="31" customFormat="1" x14ac:dyDescent="0.25"/>
    <row r="354" s="31" customFormat="1" x14ac:dyDescent="0.25"/>
    <row r="355" s="31" customFormat="1" x14ac:dyDescent="0.25"/>
    <row r="356" s="31" customFormat="1" x14ac:dyDescent="0.25"/>
    <row r="357" s="31" customFormat="1" x14ac:dyDescent="0.25"/>
    <row r="358" s="31" customFormat="1" x14ac:dyDescent="0.25"/>
    <row r="359" s="31" customFormat="1" x14ac:dyDescent="0.25"/>
    <row r="360" s="31" customFormat="1" x14ac:dyDescent="0.25"/>
    <row r="361" s="31" customFormat="1" x14ac:dyDescent="0.25"/>
    <row r="362" s="31" customFormat="1" x14ac:dyDescent="0.25"/>
    <row r="363" s="31" customFormat="1" x14ac:dyDescent="0.25"/>
    <row r="364" s="31" customFormat="1" x14ac:dyDescent="0.25"/>
    <row r="365" s="31" customFormat="1" x14ac:dyDescent="0.25"/>
    <row r="366" s="31" customFormat="1" x14ac:dyDescent="0.25"/>
    <row r="367" s="31" customFormat="1" x14ac:dyDescent="0.25"/>
    <row r="368" s="31" customFormat="1" x14ac:dyDescent="0.25"/>
    <row r="369" s="31" customFormat="1" x14ac:dyDescent="0.25"/>
    <row r="370" s="31" customFormat="1" x14ac:dyDescent="0.25"/>
    <row r="371" s="31" customFormat="1" x14ac:dyDescent="0.25"/>
    <row r="372" s="31" customFormat="1" x14ac:dyDescent="0.25"/>
    <row r="373" s="31" customFormat="1" x14ac:dyDescent="0.25"/>
    <row r="374" s="31" customFormat="1" x14ac:dyDescent="0.25"/>
    <row r="375" s="31" customFormat="1" x14ac:dyDescent="0.25"/>
    <row r="376" s="31" customFormat="1" x14ac:dyDescent="0.25"/>
    <row r="377" s="31" customFormat="1" x14ac:dyDescent="0.25"/>
    <row r="378" s="31" customFormat="1" x14ac:dyDescent="0.25"/>
    <row r="379" s="31" customFormat="1" x14ac:dyDescent="0.25"/>
    <row r="380" s="31" customFormat="1" x14ac:dyDescent="0.25"/>
    <row r="381" s="31" customFormat="1" x14ac:dyDescent="0.25"/>
    <row r="382" s="31" customFormat="1" x14ac:dyDescent="0.25"/>
    <row r="383" s="31" customFormat="1" x14ac:dyDescent="0.25"/>
    <row r="384" s="31" customFormat="1" x14ac:dyDescent="0.25"/>
    <row r="385" s="31" customFormat="1" x14ac:dyDescent="0.25"/>
    <row r="386" s="31" customFormat="1" x14ac:dyDescent="0.25"/>
    <row r="387" s="31" customFormat="1" x14ac:dyDescent="0.25"/>
    <row r="388" s="31" customFormat="1" x14ac:dyDescent="0.25"/>
    <row r="389" s="31" customFormat="1" x14ac:dyDescent="0.25"/>
    <row r="390" s="31" customFormat="1" x14ac:dyDescent="0.25"/>
    <row r="391" s="31" customFormat="1" x14ac:dyDescent="0.25"/>
    <row r="392" s="31" customFormat="1" x14ac:dyDescent="0.25"/>
    <row r="393" s="31" customFormat="1" x14ac:dyDescent="0.25"/>
    <row r="394" s="31" customFormat="1" x14ac:dyDescent="0.25"/>
    <row r="395" s="31" customFormat="1" x14ac:dyDescent="0.25"/>
    <row r="396" s="31" customFormat="1" x14ac:dyDescent="0.25"/>
    <row r="397" s="31" customFormat="1" x14ac:dyDescent="0.25"/>
    <row r="398" s="31" customFormat="1" x14ac:dyDescent="0.25"/>
    <row r="399" s="31" customFormat="1" x14ac:dyDescent="0.25"/>
    <row r="400" s="31" customFormat="1" x14ac:dyDescent="0.25"/>
    <row r="401" s="31" customFormat="1" x14ac:dyDescent="0.25"/>
    <row r="402" s="31" customFormat="1" x14ac:dyDescent="0.25"/>
    <row r="403" s="31" customFormat="1" x14ac:dyDescent="0.25"/>
    <row r="404" s="31" customFormat="1" x14ac:dyDescent="0.25"/>
    <row r="405" s="31" customFormat="1" x14ac:dyDescent="0.25"/>
    <row r="406" s="31" customFormat="1" x14ac:dyDescent="0.25"/>
    <row r="407" s="31" customFormat="1" x14ac:dyDescent="0.25"/>
    <row r="408" s="31" customFormat="1" x14ac:dyDescent="0.25"/>
    <row r="409" s="31" customFormat="1" x14ac:dyDescent="0.25"/>
    <row r="410" s="31" customFormat="1" x14ac:dyDescent="0.25"/>
    <row r="411" s="31" customFormat="1" x14ac:dyDescent="0.25"/>
    <row r="412" s="31" customFormat="1" x14ac:dyDescent="0.25"/>
    <row r="413" s="31" customFormat="1" x14ac:dyDescent="0.25"/>
    <row r="414" s="31" customFormat="1" x14ac:dyDescent="0.25"/>
    <row r="415" s="31" customFormat="1" x14ac:dyDescent="0.25"/>
    <row r="416" s="31" customFormat="1" x14ac:dyDescent="0.25"/>
    <row r="417" s="31" customFormat="1" x14ac:dyDescent="0.25"/>
    <row r="418" s="31" customFormat="1" x14ac:dyDescent="0.25"/>
    <row r="419" s="31" customFormat="1" x14ac:dyDescent="0.25"/>
    <row r="420" s="31" customFormat="1" x14ac:dyDescent="0.25"/>
    <row r="421" s="31" customFormat="1" x14ac:dyDescent="0.25"/>
    <row r="422" s="31" customFormat="1" x14ac:dyDescent="0.25"/>
    <row r="423" s="31" customFormat="1" x14ac:dyDescent="0.25"/>
    <row r="424" s="31" customFormat="1" x14ac:dyDescent="0.25"/>
    <row r="425" s="31" customFormat="1" x14ac:dyDescent="0.25"/>
    <row r="426" s="31" customFormat="1" x14ac:dyDescent="0.25"/>
    <row r="427" s="31" customFormat="1" x14ac:dyDescent="0.25"/>
    <row r="428" s="31" customFormat="1" x14ac:dyDescent="0.25"/>
    <row r="429" s="31" customFormat="1" x14ac:dyDescent="0.25"/>
    <row r="430" s="31" customFormat="1" x14ac:dyDescent="0.25"/>
    <row r="431" s="31" customFormat="1" x14ac:dyDescent="0.25"/>
    <row r="432" s="31" customFormat="1" x14ac:dyDescent="0.25"/>
    <row r="433" s="31" customFormat="1" x14ac:dyDescent="0.25"/>
    <row r="434" s="31" customFormat="1" x14ac:dyDescent="0.25"/>
    <row r="435" s="31" customFormat="1" x14ac:dyDescent="0.25"/>
    <row r="436" s="31" customFormat="1" x14ac:dyDescent="0.25"/>
    <row r="437" s="31" customFormat="1" x14ac:dyDescent="0.25"/>
    <row r="438" s="31" customFormat="1" x14ac:dyDescent="0.25"/>
    <row r="439" s="31" customFormat="1" x14ac:dyDescent="0.25"/>
    <row r="440" s="31" customFormat="1" x14ac:dyDescent="0.25"/>
    <row r="441" s="31" customFormat="1" x14ac:dyDescent="0.25"/>
    <row r="442" s="31" customFormat="1" x14ac:dyDescent="0.25"/>
    <row r="443" s="31" customFormat="1" x14ac:dyDescent="0.25"/>
    <row r="444" s="31" customFormat="1" x14ac:dyDescent="0.25"/>
    <row r="445" s="31" customFormat="1" x14ac:dyDescent="0.25"/>
    <row r="446" s="31" customFormat="1" x14ac:dyDescent="0.25"/>
    <row r="447" s="31" customFormat="1" x14ac:dyDescent="0.25"/>
  </sheetData>
  <mergeCells count="28">
    <mergeCell ref="B33:G33"/>
    <mergeCell ref="B31:D31"/>
    <mergeCell ref="C29:G29"/>
    <mergeCell ref="C20:D20"/>
    <mergeCell ref="C24:G24"/>
    <mergeCell ref="C26:G26"/>
    <mergeCell ref="B30:D30"/>
    <mergeCell ref="C25:D25"/>
    <mergeCell ref="C27:G27"/>
    <mergeCell ref="C28:G28"/>
    <mergeCell ref="C19:D19"/>
    <mergeCell ref="C23:D23"/>
    <mergeCell ref="E23:F23"/>
    <mergeCell ref="E21:F21"/>
    <mergeCell ref="E22:F22"/>
    <mergeCell ref="C21:D21"/>
    <mergeCell ref="C22:D22"/>
    <mergeCell ref="E20:F20"/>
    <mergeCell ref="C18:D18"/>
    <mergeCell ref="C7:D7"/>
    <mergeCell ref="C16:D16"/>
    <mergeCell ref="F7:G7"/>
    <mergeCell ref="F8:G8"/>
    <mergeCell ref="F10:G10"/>
    <mergeCell ref="F9:G9"/>
    <mergeCell ref="C15:D15"/>
    <mergeCell ref="C17:D17"/>
    <mergeCell ref="C8:D8"/>
  </mergeCells>
  <phoneticPr fontId="3" type="noConversion"/>
  <pageMargins left="0.75" right="0.75" top="1" bottom="1" header="0.5" footer="0.5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系統報價</vt:lpstr>
      <vt:lpstr>系統報價!Print_Area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2025-04-10T18:47:19Z</cp:lastPrinted>
  <dcterms:created xsi:type="dcterms:W3CDTF">1999-12-09T02:36:51Z</dcterms:created>
  <dcterms:modified xsi:type="dcterms:W3CDTF">2025-06-17T07:15:26Z</dcterms:modified>
</cp:coreProperties>
</file>