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oanna\Desktop\"/>
    </mc:Choice>
  </mc:AlternateContent>
  <xr:revisionPtr revIDLastSave="0" documentId="13_ncr:1_{DFED2FE6-9345-47D8-A3B2-7A32C25C06B6}" xr6:coauthVersionLast="47" xr6:coauthVersionMax="47" xr10:uidLastSave="{00000000-0000-0000-0000-000000000000}"/>
  <bookViews>
    <workbookView xWindow="-120" yWindow="-120" windowWidth="29040" windowHeight="15720" tabRatio="458" xr2:uid="{00000000-000D-0000-FFFF-FFFF00000000}"/>
  </bookViews>
  <sheets>
    <sheet name="sale_order" sheetId="1" r:id="rId1"/>
  </sheets>
  <definedNames>
    <definedName name="_xlnm.Print_Area" localSheetId="0">sale_order!$A$1:$G$34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A16" i="1"/>
  <c r="G18" i="1" l="1"/>
  <c r="G17" i="1"/>
  <c r="G19" i="1" s="1"/>
  <c r="G20" i="1" l="1"/>
</calcChain>
</file>

<file path=xl/sharedStrings.xml><?xml version="1.0" encoding="utf-8"?>
<sst xmlns="http://schemas.openxmlformats.org/spreadsheetml/2006/main" count="51" uniqueCount="50">
  <si>
    <t xml:space="preserve">  </t>
  </si>
  <si>
    <t>QUOTATION</t>
  </si>
  <si>
    <t>顯赫資訊股份有限公司</t>
  </si>
  <si>
    <t>統一編號：80426746</t>
  </si>
  <si>
    <t>地址：新北市中和區建一路166號13樓之3</t>
  </si>
  <si>
    <t>公 司 名 稱：</t>
  </si>
  <si>
    <t>報價日期：</t>
  </si>
  <si>
    <t>聯    絡   人：</t>
  </si>
  <si>
    <t>李國銓</t>
  </si>
  <si>
    <t>聯 絡 人  ：</t>
  </si>
  <si>
    <t>聯 絡 電 話：</t>
  </si>
  <si>
    <t>(04)2567-4577</t>
  </si>
  <si>
    <t>電      話  ：</t>
  </si>
  <si>
    <t>公 司 電 話：</t>
  </si>
  <si>
    <t>傳      真  ：</t>
  </si>
  <si>
    <t>E-Mail：</t>
  </si>
  <si>
    <t xml:space="preserve">  E-Mail   ：</t>
  </si>
  <si>
    <t>專案：</t>
  </si>
  <si>
    <t>採購30個PoE Injector(1G)</t>
  </si>
  <si>
    <t>　貴公司所詢問之產品，報價如下：</t>
  </si>
  <si>
    <t>單位：新台幣 元</t>
  </si>
  <si>
    <t>項次</t>
  </si>
  <si>
    <t>產品名稱</t>
  </si>
  <si>
    <t>規格</t>
  </si>
  <si>
    <t>單價</t>
  </si>
  <si>
    <t>數量</t>
  </si>
  <si>
    <t>小計</t>
  </si>
  <si>
    <t>SUB TOTAL：</t>
  </si>
  <si>
    <t>註：</t>
  </si>
  <si>
    <t>保固條件：</t>
  </si>
  <si>
    <t>未稅小計：</t>
  </si>
  <si>
    <t>付款條件：</t>
  </si>
  <si>
    <t>5%營業稅：</t>
  </si>
  <si>
    <t>含稅金額：</t>
  </si>
  <si>
    <t>Remark ：</t>
  </si>
  <si>
    <t>1. 報價單有效期限為即日起14日內（含假日）有效。</t>
  </si>
  <si>
    <t>Signature</t>
  </si>
  <si>
    <t>本報價單於取得客戶之同意簽章後，視為正式訂單即刻生效。</t>
  </si>
  <si>
    <t>20250812-01</t>
    <phoneticPr fontId="1" type="noConversion"/>
  </si>
  <si>
    <t>(02)8226-9200#140</t>
    <phoneticPr fontId="1" type="noConversion"/>
  </si>
  <si>
    <t>(02)8226-9211</t>
    <phoneticPr fontId="1" type="noConversion"/>
  </si>
  <si>
    <t>kevin@gentrice.net</t>
    <phoneticPr fontId="1" type="noConversion"/>
  </si>
  <si>
    <t>POE Injector(1G)</t>
    <phoneticPr fontId="1" type="noConversion"/>
  </si>
  <si>
    <t>jacky@bestmis.tw</t>
    <phoneticPr fontId="1" type="noConversion"/>
  </si>
  <si>
    <t>0935-383-735</t>
    <phoneticPr fontId="1" type="noConversion"/>
  </si>
  <si>
    <t>出清商品，不含保固。</t>
    <phoneticPr fontId="1" type="noConversion"/>
  </si>
  <si>
    <t>2. 自收到商品起 7 日內，如有任何問題，請即時聯繫我們，我們將協助您申請更換新品。逾期恕不受理。</t>
    <phoneticPr fontId="1" type="noConversion"/>
  </si>
  <si>
    <t>林大志 0933-030-309</t>
    <phoneticPr fontId="1" type="noConversion"/>
  </si>
  <si>
    <t>即期。</t>
    <phoneticPr fontId="1" type="noConversion"/>
  </si>
  <si>
    <t>弘展資訊有限公司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</si>
</sst>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u/>
      <sz val="22"/>
      <color indexed="12"/>
      <name val="新細明體"/>
      <family val="1"/>
      <charset val="136"/>
    </font>
    <font>
      <b/>
      <sz val="36"/>
      <name val="新細明體"/>
      <family val="1"/>
      <charset val="136"/>
    </font>
    <font>
      <b/>
      <sz val="25"/>
      <name val="新細明體"/>
      <family val="1"/>
      <charset val="136"/>
    </font>
    <font>
      <b/>
      <sz val="26"/>
      <name val="新細明體"/>
      <family val="1"/>
      <charset val="136"/>
    </font>
    <font>
      <b/>
      <sz val="18"/>
      <name val="新細明體"/>
      <family val="1"/>
      <charset val="136"/>
    </font>
    <font>
      <b/>
      <sz val="24"/>
      <name val="新細明體"/>
      <family val="1"/>
      <charset val="136"/>
    </font>
    <font>
      <sz val="24"/>
      <name val="新細明體"/>
      <family val="1"/>
      <charset val="136"/>
    </font>
    <font>
      <sz val="16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43" fontId="9" fillId="0" borderId="0"/>
    <xf numFmtId="0" fontId="2" fillId="0" borderId="0">
      <alignment vertical="top"/>
      <protection locked="0"/>
    </xf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9" fillId="0" borderId="0"/>
  </cellStyleXfs>
  <cellXfs count="69">
    <xf numFmtId="0" fontId="0" fillId="0" borderId="0" xfId="0"/>
    <xf numFmtId="0" fontId="4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0" fontId="8" fillId="0" borderId="0" xfId="0" applyFont="1"/>
    <xf numFmtId="0" fontId="4" fillId="0" borderId="1" xfId="0" applyFont="1" applyBorder="1"/>
    <xf numFmtId="14" fontId="7" fillId="0" borderId="2" xfId="0" applyNumberFormat="1" applyFont="1" applyBorder="1"/>
    <xf numFmtId="14" fontId="7" fillId="0" borderId="0" xfId="0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6" fillId="2" borderId="3" xfId="0" applyFont="1" applyFill="1" applyBorder="1" applyAlignment="1">
      <alignment horizontal="center"/>
    </xf>
    <xf numFmtId="176" fontId="6" fillId="2" borderId="3" xfId="1" applyNumberFormat="1" applyFont="1" applyFill="1" applyBorder="1" applyAlignment="1">
      <alignment horizontal="left"/>
    </xf>
    <xf numFmtId="176" fontId="6" fillId="2" borderId="3" xfId="1" applyNumberFormat="1" applyFont="1" applyFill="1" applyBorder="1" applyAlignment="1">
      <alignment horizontal="center" wrapText="1"/>
    </xf>
    <xf numFmtId="176" fontId="6" fillId="2" borderId="3" xfId="1" applyNumberFormat="1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58" fontId="7" fillId="0" borderId="2" xfId="0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right" vertical="center"/>
    </xf>
    <xf numFmtId="49" fontId="14" fillId="0" borderId="0" xfId="0" applyNumberFormat="1" applyFont="1" applyAlignment="1">
      <alignment horizontal="left"/>
    </xf>
    <xf numFmtId="0" fontId="15" fillId="0" borderId="0" xfId="0" applyFont="1"/>
    <xf numFmtId="0" fontId="16" fillId="0" borderId="0" xfId="0" applyFont="1"/>
    <xf numFmtId="38" fontId="17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/>
    </xf>
    <xf numFmtId="176" fontId="6" fillId="0" borderId="3" xfId="1" applyNumberFormat="1" applyFont="1" applyBorder="1" applyAlignment="1">
      <alignment horizontal="center" vertical="center" wrapText="1"/>
    </xf>
    <xf numFmtId="38" fontId="4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3" fontId="4" fillId="0" borderId="3" xfId="1" applyNumberFormat="1" applyFont="1" applyBorder="1" applyAlignment="1">
      <alignment horizontal="center" vertical="center" wrapText="1"/>
    </xf>
    <xf numFmtId="3" fontId="4" fillId="0" borderId="3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0" fillId="0" borderId="0" xfId="0"/>
    <xf numFmtId="0" fontId="0" fillId="0" borderId="0" xfId="0" applyAlignment="1">
      <alignment wrapText="1"/>
    </xf>
    <xf numFmtId="49" fontId="8" fillId="0" borderId="2" xfId="0" applyNumberFormat="1" applyFont="1" applyBorder="1" applyAlignment="1">
      <alignment horizontal="left"/>
    </xf>
    <xf numFmtId="0" fontId="0" fillId="0" borderId="2" xfId="0" applyBorder="1"/>
    <xf numFmtId="0" fontId="3" fillId="0" borderId="6" xfId="0" applyFont="1" applyBorder="1"/>
    <xf numFmtId="0" fontId="3" fillId="0" borderId="0" xfId="0" applyFont="1" applyAlignment="1">
      <alignment horizontal="left"/>
    </xf>
    <xf numFmtId="49" fontId="4" fillId="0" borderId="3" xfId="1" applyNumberFormat="1" applyFont="1" applyBorder="1" applyAlignment="1">
      <alignment horizontal="left" vertical="center" wrapText="1"/>
    </xf>
    <xf numFmtId="0" fontId="0" fillId="0" borderId="7" xfId="0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/>
    <xf numFmtId="49" fontId="7" fillId="0" borderId="0" xfId="0" applyNumberFormat="1" applyFont="1" applyAlignment="1">
      <alignment horizontal="left"/>
    </xf>
    <xf numFmtId="49" fontId="4" fillId="0" borderId="3" xfId="1" applyNumberFormat="1" applyFont="1" applyBorder="1" applyAlignment="1">
      <alignment horizontal="left" wrapText="1"/>
    </xf>
    <xf numFmtId="0" fontId="8" fillId="0" borderId="0" xfId="0" applyFont="1" applyAlignment="1">
      <alignment wrapText="1"/>
    </xf>
    <xf numFmtId="0" fontId="3" fillId="0" borderId="0" xfId="0" applyFont="1"/>
    <xf numFmtId="0" fontId="0" fillId="0" borderId="7" xfId="0" applyBorder="1" applyAlignment="1">
      <alignment vertical="center"/>
    </xf>
    <xf numFmtId="49" fontId="4" fillId="0" borderId="3" xfId="15" applyNumberFormat="1" applyFont="1" applyBorder="1" applyAlignment="1">
      <alignment horizontal="left" vertical="center" wrapText="1"/>
    </xf>
    <xf numFmtId="38" fontId="17" fillId="0" borderId="3" xfId="1" applyNumberFormat="1" applyFont="1" applyBorder="1" applyAlignment="1">
      <alignment horizontal="right" wrapText="1"/>
    </xf>
    <xf numFmtId="0" fontId="6" fillId="0" borderId="5" xfId="0" applyFont="1" applyBorder="1" applyAlignment="1">
      <alignment horizontal="left"/>
    </xf>
    <xf numFmtId="0" fontId="0" fillId="0" borderId="5" xfId="0" applyBorder="1"/>
    <xf numFmtId="38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justify"/>
    </xf>
    <xf numFmtId="0" fontId="0" fillId="0" borderId="4" xfId="0" applyBorder="1"/>
    <xf numFmtId="49" fontId="8" fillId="0" borderId="0" xfId="0" applyNumberFormat="1" applyFont="1" applyAlignment="1">
      <alignment horizontal="left" wrapText="1"/>
    </xf>
    <xf numFmtId="0" fontId="10" fillId="0" borderId="0" xfId="2" applyFont="1" applyAlignment="1" applyProtection="1">
      <alignment wrapText="1"/>
    </xf>
    <xf numFmtId="176" fontId="6" fillId="2" borderId="3" xfId="1" applyNumberFormat="1" applyFont="1" applyFill="1" applyBorder="1" applyAlignment="1">
      <alignment horizontal="left" wrapText="1"/>
    </xf>
  </cellXfs>
  <cellStyles count="27">
    <cellStyle name="一般" xfId="0" builtinId="0"/>
    <cellStyle name="千分位" xfId="1" builtinId="3"/>
    <cellStyle name="千分位 10" xfId="19" xr:uid="{00000000-0005-0000-0000-000013000000}"/>
    <cellStyle name="千分位 2" xfId="4" xr:uid="{00000000-0005-0000-0000-000004000000}"/>
    <cellStyle name="千分位 2 2" xfId="6" xr:uid="{00000000-0005-0000-0000-000006000000}"/>
    <cellStyle name="千分位 2 2 2" xfId="15" xr:uid="{00000000-0005-0000-0000-00000F000000}"/>
    <cellStyle name="千分位 2 2 2 2" xfId="26" xr:uid="{00000000-0005-0000-0000-00001A000000}"/>
    <cellStyle name="千分位 2 2 3" xfId="22" xr:uid="{00000000-0005-0000-0000-000016000000}"/>
    <cellStyle name="千分位 2 3" xfId="13" xr:uid="{00000000-0005-0000-0000-00000D000000}"/>
    <cellStyle name="千分位 2 3 2" xfId="24" xr:uid="{00000000-0005-0000-0000-000018000000}"/>
    <cellStyle name="千分位 2 4" xfId="10" xr:uid="{00000000-0005-0000-0000-00000A000000}"/>
    <cellStyle name="千分位 2 5" xfId="17" xr:uid="{00000000-0005-0000-0000-000011000000}"/>
    <cellStyle name="千分位 2 6" xfId="20" xr:uid="{00000000-0005-0000-0000-000014000000}"/>
    <cellStyle name="千分位 3" xfId="5" xr:uid="{00000000-0005-0000-0000-000005000000}"/>
    <cellStyle name="千分位 3 2" xfId="14" xr:uid="{00000000-0005-0000-0000-00000E000000}"/>
    <cellStyle name="千分位 3 2 2" xfId="25" xr:uid="{00000000-0005-0000-0000-000019000000}"/>
    <cellStyle name="千分位 3 3" xfId="11" xr:uid="{00000000-0005-0000-0000-00000B000000}"/>
    <cellStyle name="千分位 3 4" xfId="18" xr:uid="{00000000-0005-0000-0000-000012000000}"/>
    <cellStyle name="千分位 3 5" xfId="21" xr:uid="{00000000-0005-0000-0000-000015000000}"/>
    <cellStyle name="千分位 4" xfId="12" xr:uid="{00000000-0005-0000-0000-00000C000000}"/>
    <cellStyle name="千分位 4 2" xfId="23" xr:uid="{00000000-0005-0000-0000-000017000000}"/>
    <cellStyle name="千分位 5" xfId="9" xr:uid="{00000000-0005-0000-0000-000009000000}"/>
    <cellStyle name="千分位 6" xfId="8" xr:uid="{00000000-0005-0000-0000-000008000000}"/>
    <cellStyle name="千分位 7" xfId="7" xr:uid="{00000000-0005-0000-0000-000007000000}"/>
    <cellStyle name="千分位 8" xfId="3" xr:uid="{00000000-0005-0000-0000-000003000000}"/>
    <cellStyle name="千分位 9" xfId="16" xr:uid="{00000000-0005-0000-0000-000010000000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202406</xdr:colOff>
      <xdr:row>23</xdr:row>
      <xdr:rowOff>1884</xdr:rowOff>
    </xdr:from>
    <xdr:to>
      <xdr:col>6</xdr:col>
      <xdr:colOff>500061</xdr:colOff>
      <xdr:row>28</xdr:row>
      <xdr:rowOff>199823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0656" y="8788697"/>
          <a:ext cx="2845593" cy="222200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48"/>
  <sheetViews>
    <sheetView tabSelected="1" view="pageBreakPreview" topLeftCell="A16" zoomScale="80" zoomScaleNormal="80" zoomScaleSheetLayoutView="80" workbookViewId="0">
      <selection activeCell="J29" sqref="J29"/>
    </sheetView>
  </sheetViews>
  <sheetFormatPr defaultColWidth="9" defaultRowHeight="16.5" x14ac:dyDescent="0.25"/>
  <cols>
    <col min="1" max="1" width="7.375" customWidth="1"/>
    <col min="2" max="2" width="33.125" customWidth="1"/>
    <col min="3" max="3" width="30.125" customWidth="1"/>
    <col min="4" max="4" width="45.625" style="20" customWidth="1"/>
    <col min="5" max="5" width="20.5" style="20" customWidth="1"/>
    <col min="6" max="6" width="13" customWidth="1"/>
    <col min="7" max="7" width="21.125" customWidth="1"/>
    <col min="8" max="8" width="9" customWidth="1"/>
  </cols>
  <sheetData>
    <row r="3" spans="1:13" ht="21.95" customHeight="1" x14ac:dyDescent="0.3">
      <c r="A3" s="2"/>
      <c r="B3" s="1"/>
      <c r="C3" s="1"/>
      <c r="D3" s="9"/>
      <c r="E3" s="9"/>
      <c r="F3" s="1"/>
      <c r="G3" s="1"/>
    </row>
    <row r="4" spans="1:13" ht="44.1" customHeight="1" x14ac:dyDescent="0.55000000000000004">
      <c r="A4" s="2" t="s">
        <v>0</v>
      </c>
      <c r="B4" s="1"/>
      <c r="C4" s="41" t="s">
        <v>1</v>
      </c>
      <c r="D4" s="42"/>
      <c r="E4" s="18" t="s">
        <v>2</v>
      </c>
      <c r="G4" s="19"/>
    </row>
    <row r="5" spans="1:13" ht="21.95" customHeight="1" x14ac:dyDescent="0.3">
      <c r="A5" s="2"/>
      <c r="B5" s="1"/>
      <c r="C5" s="42"/>
      <c r="D5" s="43"/>
      <c r="E5" s="1" t="s">
        <v>3</v>
      </c>
      <c r="G5" s="1"/>
    </row>
    <row r="6" spans="1:13" ht="23.1" customHeight="1" thickBot="1" x14ac:dyDescent="0.35">
      <c r="A6" s="2"/>
      <c r="B6" s="5"/>
      <c r="C6" s="5"/>
      <c r="D6" s="11"/>
      <c r="E6" s="1" t="s">
        <v>4</v>
      </c>
      <c r="G6" s="1"/>
    </row>
    <row r="7" spans="1:13" s="4" customFormat="1" ht="32.25" customHeight="1" thickTop="1" x14ac:dyDescent="0.4">
      <c r="A7" s="6"/>
      <c r="B7" s="21" t="s">
        <v>5</v>
      </c>
      <c r="C7" s="44" t="s">
        <v>49</v>
      </c>
      <c r="D7" s="45"/>
      <c r="E7" s="22" t="s">
        <v>6</v>
      </c>
      <c r="F7" s="50" t="s">
        <v>38</v>
      </c>
      <c r="G7" s="51"/>
    </row>
    <row r="8" spans="1:13" s="4" customFormat="1" ht="29.25" customHeight="1" x14ac:dyDescent="0.4">
      <c r="A8" s="7"/>
      <c r="B8" s="23" t="s">
        <v>7</v>
      </c>
      <c r="C8" s="52" t="s">
        <v>8</v>
      </c>
      <c r="D8" s="53"/>
      <c r="E8" s="25" t="s">
        <v>9</v>
      </c>
      <c r="F8" s="54" t="s">
        <v>47</v>
      </c>
      <c r="G8" s="53"/>
    </row>
    <row r="9" spans="1:13" s="4" customFormat="1" ht="27.75" customHeight="1" x14ac:dyDescent="0.4">
      <c r="A9" s="8"/>
      <c r="B9" s="23" t="s">
        <v>10</v>
      </c>
      <c r="C9" s="52" t="s">
        <v>44</v>
      </c>
      <c r="D9" s="53"/>
      <c r="E9" s="22" t="s">
        <v>12</v>
      </c>
      <c r="F9" s="54" t="s">
        <v>39</v>
      </c>
      <c r="G9" s="53"/>
    </row>
    <row r="10" spans="1:13" s="4" customFormat="1" ht="27.6" customHeight="1" x14ac:dyDescent="0.4">
      <c r="A10" s="8"/>
      <c r="B10" s="23" t="s">
        <v>13</v>
      </c>
      <c r="C10" s="52" t="s">
        <v>11</v>
      </c>
      <c r="D10" s="53"/>
      <c r="E10" s="22" t="s">
        <v>14</v>
      </c>
      <c r="F10" s="54" t="s">
        <v>40</v>
      </c>
      <c r="G10" s="53"/>
    </row>
    <row r="11" spans="1:13" s="4" customFormat="1" ht="27.75" customHeight="1" x14ac:dyDescent="0.4">
      <c r="A11" s="8"/>
      <c r="B11" s="27" t="s">
        <v>15</v>
      </c>
      <c r="C11" s="66" t="s">
        <v>43</v>
      </c>
      <c r="D11" s="53"/>
      <c r="E11" s="22" t="s">
        <v>16</v>
      </c>
      <c r="F11" s="28" t="s">
        <v>41</v>
      </c>
      <c r="G11" s="17"/>
    </row>
    <row r="12" spans="1:13" s="4" customFormat="1" ht="33" customHeight="1" x14ac:dyDescent="0.45">
      <c r="A12" s="8"/>
      <c r="B12" s="27"/>
      <c r="C12" s="67"/>
      <c r="D12" s="53"/>
      <c r="E12" s="12"/>
      <c r="F12" s="8"/>
      <c r="G12" s="8"/>
    </row>
    <row r="13" spans="1:13" s="4" customFormat="1" ht="27" customHeight="1" x14ac:dyDescent="0.4">
      <c r="A13" s="8"/>
      <c r="B13" s="27" t="s">
        <v>17</v>
      </c>
      <c r="C13" s="24" t="s">
        <v>18</v>
      </c>
      <c r="D13" s="12"/>
      <c r="E13" s="12"/>
      <c r="F13" s="8"/>
      <c r="G13" s="26"/>
      <c r="M13" s="12"/>
    </row>
    <row r="14" spans="1:13" ht="33.950000000000003" customHeight="1" x14ac:dyDescent="0.45">
      <c r="A14" s="29" t="s">
        <v>19</v>
      </c>
      <c r="B14" s="30"/>
      <c r="C14" s="30"/>
      <c r="F14" s="26" t="s">
        <v>20</v>
      </c>
    </row>
    <row r="15" spans="1:13" s="4" customFormat="1" ht="39.75" customHeight="1" x14ac:dyDescent="0.4">
      <c r="A15" s="13" t="s">
        <v>21</v>
      </c>
      <c r="B15" s="14" t="s">
        <v>22</v>
      </c>
      <c r="C15" s="68" t="s">
        <v>23</v>
      </c>
      <c r="D15" s="49"/>
      <c r="E15" s="15" t="s">
        <v>24</v>
      </c>
      <c r="F15" s="16" t="s">
        <v>25</v>
      </c>
      <c r="G15" s="16" t="s">
        <v>26</v>
      </c>
    </row>
    <row r="16" spans="1:13" ht="82.5" customHeight="1" x14ac:dyDescent="0.25">
      <c r="A16" s="31">
        <f>IF(ISBLANK(B16),"",1)</f>
        <v>1</v>
      </c>
      <c r="B16" s="32" t="s">
        <v>42</v>
      </c>
      <c r="C16" s="59" t="s">
        <v>42</v>
      </c>
      <c r="D16" s="58"/>
      <c r="E16" s="39">
        <v>260</v>
      </c>
      <c r="F16" s="40">
        <v>30</v>
      </c>
      <c r="G16" s="31">
        <f t="shared" ref="G16" si="0">IF(ISBLANK(E16),"",SUM(E16*F16))</f>
        <v>7800</v>
      </c>
    </row>
    <row r="17" spans="1:7" ht="27.75" customHeight="1" x14ac:dyDescent="0.3">
      <c r="A17" s="33"/>
      <c r="B17" s="34"/>
      <c r="C17" s="48"/>
      <c r="D17" s="49"/>
      <c r="E17" s="60" t="s">
        <v>27</v>
      </c>
      <c r="F17" s="49"/>
      <c r="G17" s="35">
        <f>SUM(G16:G16)</f>
        <v>7800</v>
      </c>
    </row>
    <row r="18" spans="1:7" ht="27.75" customHeight="1" x14ac:dyDescent="0.3">
      <c r="A18" s="36" t="s">
        <v>28</v>
      </c>
      <c r="B18" s="36" t="s">
        <v>29</v>
      </c>
      <c r="C18" s="48" t="s">
        <v>45</v>
      </c>
      <c r="D18" s="58"/>
      <c r="E18" s="60" t="s">
        <v>30</v>
      </c>
      <c r="F18" s="49"/>
      <c r="G18" s="35">
        <f>SUM(G16:G16)</f>
        <v>7800</v>
      </c>
    </row>
    <row r="19" spans="1:7" ht="29.25" customHeight="1" x14ac:dyDescent="0.3">
      <c r="A19" s="33"/>
      <c r="B19" s="36" t="s">
        <v>31</v>
      </c>
      <c r="C19" s="55" t="s">
        <v>48</v>
      </c>
      <c r="D19" s="49"/>
      <c r="E19" s="63" t="s">
        <v>32</v>
      </c>
      <c r="F19" s="49"/>
      <c r="G19" s="35">
        <f>SUM(G17*1.05)-G17</f>
        <v>390</v>
      </c>
    </row>
    <row r="20" spans="1:7" ht="26.25" customHeight="1" x14ac:dyDescent="0.3">
      <c r="A20" s="33"/>
      <c r="B20" s="36"/>
      <c r="C20" s="55"/>
      <c r="D20" s="49"/>
      <c r="E20" s="63" t="s">
        <v>33</v>
      </c>
      <c r="F20" s="49"/>
      <c r="G20" s="35">
        <f>SUM(G18:G19)</f>
        <v>8190</v>
      </c>
    </row>
    <row r="21" spans="1:7" ht="26.25" customHeight="1" x14ac:dyDescent="0.3">
      <c r="A21" s="3"/>
      <c r="B21" s="38" t="s">
        <v>34</v>
      </c>
      <c r="C21" s="46" t="s">
        <v>35</v>
      </c>
      <c r="D21" s="46"/>
      <c r="E21" s="46"/>
      <c r="F21" s="46"/>
      <c r="G21" s="46"/>
    </row>
    <row r="22" spans="1:7" ht="26.25" customHeight="1" x14ac:dyDescent="0.3">
      <c r="A22" s="3"/>
      <c r="B22" s="2"/>
      <c r="C22" s="47" t="s">
        <v>46</v>
      </c>
      <c r="D22" s="47"/>
      <c r="E22" s="47"/>
      <c r="F22" s="47"/>
      <c r="G22" s="47"/>
    </row>
    <row r="23" spans="1:7" ht="25.5" customHeight="1" x14ac:dyDescent="0.3">
      <c r="A23" s="3"/>
      <c r="B23" s="2"/>
      <c r="C23" s="47"/>
      <c r="D23" s="57"/>
      <c r="E23" s="57"/>
      <c r="F23" s="57"/>
      <c r="G23" s="57"/>
    </row>
    <row r="24" spans="1:7" ht="31.5" customHeight="1" x14ac:dyDescent="0.4">
      <c r="A24" s="3"/>
      <c r="B24" s="4"/>
      <c r="C24" s="47"/>
      <c r="D24" s="42"/>
      <c r="E24" s="37"/>
      <c r="F24" s="37"/>
      <c r="G24" s="37"/>
    </row>
    <row r="25" spans="1:7" ht="31.5" customHeight="1" x14ac:dyDescent="0.4">
      <c r="A25" s="3"/>
      <c r="B25" s="4"/>
      <c r="C25" s="47"/>
      <c r="D25" s="42"/>
      <c r="E25"/>
    </row>
    <row r="26" spans="1:7" ht="31.5" customHeight="1" x14ac:dyDescent="0.4">
      <c r="A26" s="3"/>
      <c r="B26" s="4"/>
      <c r="C26" s="47"/>
      <c r="D26" s="42"/>
      <c r="E26" s="42"/>
      <c r="F26" s="42"/>
      <c r="G26" s="42"/>
    </row>
    <row r="27" spans="1:7" ht="31.5" customHeight="1" x14ac:dyDescent="0.4">
      <c r="A27" s="3"/>
      <c r="B27" s="4"/>
      <c r="C27" s="47"/>
      <c r="D27" s="42"/>
      <c r="E27" s="42"/>
      <c r="F27" s="42"/>
      <c r="G27" s="42"/>
    </row>
    <row r="28" spans="1:7" ht="31.5" customHeight="1" x14ac:dyDescent="0.4">
      <c r="A28" s="3"/>
      <c r="B28" s="4"/>
      <c r="C28" s="57"/>
      <c r="D28" s="42"/>
      <c r="E28" s="42"/>
      <c r="F28" s="42"/>
      <c r="G28" s="42"/>
    </row>
    <row r="29" spans="1:7" ht="31.5" customHeight="1" x14ac:dyDescent="0.4">
      <c r="A29" s="3"/>
      <c r="B29" s="4"/>
      <c r="C29" s="57"/>
      <c r="D29" s="42"/>
      <c r="E29" s="42"/>
      <c r="F29" s="42"/>
      <c r="G29" s="42"/>
    </row>
    <row r="30" spans="1:7" ht="31.5" customHeight="1" x14ac:dyDescent="0.4">
      <c r="A30" s="3"/>
      <c r="B30" s="4"/>
      <c r="C30" s="57"/>
      <c r="D30" s="42"/>
      <c r="E30" s="42"/>
      <c r="F30" s="42"/>
      <c r="G30" s="42"/>
    </row>
    <row r="31" spans="1:7" s="2" customFormat="1" ht="27.75" customHeight="1" thickBot="1" x14ac:dyDescent="0.35">
      <c r="A31" s="10"/>
      <c r="B31" s="61" t="s">
        <v>36</v>
      </c>
      <c r="C31" s="62"/>
      <c r="D31" s="62"/>
    </row>
    <row r="32" spans="1:7" s="2" customFormat="1" ht="33" customHeight="1" x14ac:dyDescent="0.3">
      <c r="B32" s="64" t="s">
        <v>37</v>
      </c>
      <c r="C32" s="65"/>
      <c r="D32" s="65"/>
    </row>
    <row r="33" spans="2:7" s="2" customFormat="1" ht="33" customHeight="1" x14ac:dyDescent="0.4">
      <c r="B33" s="12"/>
      <c r="C33" s="12"/>
      <c r="D33" s="12"/>
    </row>
    <row r="34" spans="2:7" s="2" customFormat="1" ht="47.25" customHeight="1" x14ac:dyDescent="0.4">
      <c r="B34" s="56"/>
      <c r="C34" s="57"/>
      <c r="D34" s="57"/>
      <c r="E34" s="57"/>
      <c r="F34" s="57"/>
      <c r="G34" s="57"/>
    </row>
    <row r="35" spans="2:7" s="2" customFormat="1" ht="45" customHeight="1" x14ac:dyDescent="0.3"/>
    <row r="36" spans="2:7" s="2" customFormat="1" ht="20.100000000000001" customHeight="1" x14ac:dyDescent="0.3"/>
    <row r="37" spans="2:7" x14ac:dyDescent="0.25">
      <c r="D37"/>
      <c r="E37"/>
    </row>
    <row r="38" spans="2:7" x14ac:dyDescent="0.25">
      <c r="D38"/>
      <c r="E38"/>
    </row>
    <row r="39" spans="2:7" x14ac:dyDescent="0.25">
      <c r="D39"/>
      <c r="E39"/>
    </row>
    <row r="40" spans="2:7" x14ac:dyDescent="0.25">
      <c r="D40"/>
      <c r="E40"/>
    </row>
    <row r="41" spans="2:7" x14ac:dyDescent="0.25">
      <c r="D41"/>
      <c r="E41"/>
    </row>
    <row r="42" spans="2:7" x14ac:dyDescent="0.25">
      <c r="D42"/>
      <c r="E42"/>
    </row>
    <row r="43" spans="2:7" x14ac:dyDescent="0.25">
      <c r="D43"/>
      <c r="E43"/>
    </row>
    <row r="44" spans="2:7" x14ac:dyDescent="0.25">
      <c r="D44"/>
      <c r="E44"/>
    </row>
    <row r="45" spans="2:7" x14ac:dyDescent="0.25">
      <c r="D45"/>
      <c r="E45"/>
    </row>
    <row r="46" spans="2:7" x14ac:dyDescent="0.25">
      <c r="D46"/>
      <c r="E46"/>
    </row>
    <row r="47" spans="2:7" x14ac:dyDescent="0.25">
      <c r="D47"/>
      <c r="E47"/>
    </row>
    <row r="48" spans="2:7" x14ac:dyDescent="0.25">
      <c r="D48"/>
      <c r="E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</sheetData>
  <mergeCells count="34">
    <mergeCell ref="C12:D12"/>
    <mergeCell ref="C15:D15"/>
    <mergeCell ref="B34:G34"/>
    <mergeCell ref="C25:D25"/>
    <mergeCell ref="C28:G28"/>
    <mergeCell ref="C18:D18"/>
    <mergeCell ref="C16:D16"/>
    <mergeCell ref="E18:F18"/>
    <mergeCell ref="E17:F17"/>
    <mergeCell ref="B31:D31"/>
    <mergeCell ref="C23:G23"/>
    <mergeCell ref="C19:D19"/>
    <mergeCell ref="C24:D24"/>
    <mergeCell ref="C30:G30"/>
    <mergeCell ref="C29:G29"/>
    <mergeCell ref="E20:F20"/>
    <mergeCell ref="E19:F19"/>
    <mergeCell ref="B32:D32"/>
    <mergeCell ref="C4:D5"/>
    <mergeCell ref="C7:D7"/>
    <mergeCell ref="C21:G21"/>
    <mergeCell ref="C27:G27"/>
    <mergeCell ref="C17:D17"/>
    <mergeCell ref="C26:G26"/>
    <mergeCell ref="C22:G22"/>
    <mergeCell ref="F7:G7"/>
    <mergeCell ref="C10:D10"/>
    <mergeCell ref="C9:D9"/>
    <mergeCell ref="F8:G8"/>
    <mergeCell ref="F9:G9"/>
    <mergeCell ref="C8:D8"/>
    <mergeCell ref="F10:G10"/>
    <mergeCell ref="C20:D20"/>
    <mergeCell ref="C11:D11"/>
  </mergeCells>
  <phoneticPr fontId="1" type="noConversion"/>
  <pageMargins left="0.75" right="0.75" top="1" bottom="1" header="0.5" footer="0.5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sale_order</vt:lpstr>
      <vt:lpstr>sale_order!Print_Area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Joanna Hsu</cp:lastModifiedBy>
  <cp:lastPrinted>2025-08-12T09:42:44Z</cp:lastPrinted>
  <dcterms:created xsi:type="dcterms:W3CDTF">1999-12-09T02:36:51Z</dcterms:created>
  <dcterms:modified xsi:type="dcterms:W3CDTF">2025-08-12T09:53:09Z</dcterms:modified>
</cp:coreProperties>
</file>