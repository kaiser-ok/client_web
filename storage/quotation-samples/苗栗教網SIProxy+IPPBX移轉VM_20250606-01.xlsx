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IPPBX\"/>
    </mc:Choice>
  </mc:AlternateContent>
  <xr:revisionPtr revIDLastSave="0" documentId="13_ncr:1_{47E49501-7648-4F6A-BB0D-642667245C91}" xr6:coauthVersionLast="47" xr6:coauthVersionMax="47" xr10:uidLastSave="{00000000-0000-0000-0000-000000000000}"/>
  <bookViews>
    <workbookView xWindow="28680" yWindow="-120" windowWidth="38640" windowHeight="211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</workbook>
</file>

<file path=xl/calcChain.xml><?xml version="1.0" encoding="utf-8"?>
<calcChain xmlns="http://schemas.openxmlformats.org/spreadsheetml/2006/main">
  <c r="G16" i="1" l="1"/>
  <c r="G17" i="1" s="1"/>
  <c r="G18" i="1" s="1"/>
  <c r="A16" i="1"/>
  <c r="G19" i="1" l="1"/>
  <c r="G20" i="1" s="1"/>
</calcChain>
</file>

<file path=xl/sharedStrings.xml><?xml version="1.0" encoding="utf-8"?>
<sst xmlns="http://schemas.openxmlformats.org/spreadsheetml/2006/main" count="51" uniqueCount="51">
  <si>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</si>
  <si>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</si>
  <si>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</si>
  <si>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</si>
  <si>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</si>
  <si>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</si>
  <si>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</si>
  <si>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</si>
  <si>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</si>
  <si>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</si>
  <si>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</si>
  <si>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</si>
  <si>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</si>
  <si>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</si>
  <si>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</si>
  <si>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E-Mail：</t>
  </si>
  <si>
    <t xml:space="preserve">    E-Mail  ：</t>
  </si>
  <si>
    <t>kevin@gentrice.net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</si>
  <si>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</si>
  <si>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</si>
  <si>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</si>
  <si>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</si>
  <si>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</si>
  <si>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</si>
  <si>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</si>
  <si>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</si>
  <si>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</si>
  <si>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註：</t>
  </si>
  <si>
    <t>保固條件：</t>
  </si>
  <si>
    <t>一年</t>
  </si>
  <si>
    <t>付款條件：</t>
  </si>
  <si>
    <t>即期或月結30天。</t>
  </si>
  <si>
    <t>Remark ：</t>
  </si>
  <si>
    <t>Signature</t>
  </si>
  <si>
    <t>本報價單於取得客戶之同意簽章後，視為正式訂單即刻生效。</t>
  </si>
  <si>
    <t>1.報價單有效期限為 即日起30日內(含假日)有效</t>
    <phoneticPr fontId="1" type="noConversion"/>
  </si>
  <si>
    <t>02-82269211</t>
    <phoneticPr fontId="1" type="noConversion"/>
  </si>
  <si>
    <t>苗栗縣教網</t>
    <phoneticPr fontId="1" type="noConversion"/>
  </si>
  <si>
    <t>2.移轉作業須由中心端進行，請中心提供跳板主機或筆電以供使用。</t>
    <phoneticPr fontId="1" type="noConversion"/>
  </si>
  <si>
    <t>3.僅針對在線主機移轉至VM，不包括備援主機的移轉或 HA 同步服務。</t>
    <phoneticPr fontId="1" type="noConversion"/>
  </si>
  <si>
    <t>苗栗縣教育網路中心</t>
    <phoneticPr fontId="1" type="noConversion"/>
  </si>
  <si>
    <t>張奕勛 老師</t>
    <phoneticPr fontId="1" type="noConversion"/>
  </si>
  <si>
    <t>037-265087#12</t>
    <phoneticPr fontId="1" type="noConversion"/>
  </si>
  <si>
    <t>yishiung0723@webmail.mlc.edu.tw</t>
    <phoneticPr fontId="1" type="noConversion"/>
  </si>
  <si>
    <t xml:space="preserve">SIPProxy+IPPBX 
主機轉移VM費用
</t>
    <phoneticPr fontId="1" type="noConversion"/>
  </si>
  <si>
    <t>SUB TOTAL</t>
    <phoneticPr fontId="1" type="noConversion"/>
  </si>
  <si>
    <t>未稅小計：</t>
  </si>
  <si>
    <t>5%營業稅：</t>
    <phoneticPr fontId="1" type="noConversion"/>
  </si>
  <si>
    <t>含稅總計：</t>
    <phoneticPr fontId="1" type="noConversion"/>
  </si>
  <si>
    <t>20250606-01</t>
    <phoneticPr fontId="1" type="noConversion"/>
  </si>
  <si>
    <t>IPPBX 和 SIPProxy主機轉移至VM的服務說明如下：
(僅限移轉在線主機)
1.VM 環境由客戶提供，本公司僅提供 P2V 移轉服務。
2.報價不含 IPPBX及SIPProxy 版本及 Linux OS 重建費用 –(CentOS 平台改為 Ubuntu 平台)。
3.本服務不包含HA備援機同步或移轉。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</si>
</sst>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9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  <font>
      <sz val="20"/>
      <name val="Times New Roman"/>
      <family val="1"/>
    </font>
    <font>
      <sz val="14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92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176" fontId="16" fillId="0" borderId="3" xfId="1" applyNumberFormat="1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3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8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0" fontId="29" fillId="0" borderId="0" xfId="0" applyFont="1" applyAlignment="1">
      <alignment horizontal="right" vertical="center"/>
    </xf>
    <xf numFmtId="0" fontId="31" fillId="0" borderId="0" xfId="0" applyFont="1"/>
    <xf numFmtId="0" fontId="32" fillId="0" borderId="0" xfId="0" applyFont="1"/>
    <xf numFmtId="58" fontId="33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0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3" fontId="15" fillId="0" borderId="3" xfId="1" applyNumberFormat="1" applyFont="1" applyBorder="1" applyAlignment="1">
      <alignment horizontal="right" vertical="center" wrapText="1"/>
    </xf>
    <xf numFmtId="3" fontId="15" fillId="0" borderId="3" xfId="1" applyNumberFormat="1" applyFont="1" applyBorder="1" applyAlignment="1">
      <alignment horizontal="right" vertical="center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0" fontId="13" fillId="0" borderId="0" xfId="0" applyFont="1"/>
    <xf numFmtId="49" fontId="4" fillId="0" borderId="0" xfId="2" applyNumberFormat="1" applyFont="1" applyAlignment="1" applyProtection="1"/>
    <xf numFmtId="49" fontId="35" fillId="0" borderId="0" xfId="0" applyNumberFormat="1" applyFont="1"/>
    <xf numFmtId="0" fontId="36" fillId="0" borderId="0" xfId="0" applyFont="1"/>
    <xf numFmtId="177" fontId="17" fillId="0" borderId="3" xfId="1" applyNumberFormat="1" applyFont="1" applyBorder="1" applyAlignment="1">
      <alignment horizontal="right"/>
    </xf>
    <xf numFmtId="177" fontId="15" fillId="0" borderId="3" xfId="0" applyNumberFormat="1" applyFont="1" applyBorder="1" applyAlignment="1">
      <alignment horizontal="right" vertical="center"/>
    </xf>
    <xf numFmtId="177" fontId="17" fillId="0" borderId="3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0" fontId="34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0" fillId="0" borderId="0" xfId="0" applyFont="1"/>
    <xf numFmtId="177" fontId="15" fillId="0" borderId="3" xfId="0" applyNumberFormat="1" applyFont="1" applyBorder="1" applyAlignment="1">
      <alignment horizontal="right" vertical="center"/>
    </xf>
    <xf numFmtId="177" fontId="37" fillId="0" borderId="3" xfId="0" applyNumberFormat="1" applyFont="1" applyBorder="1" applyAlignment="1">
      <alignment vertical="center"/>
    </xf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49" fontId="15" fillId="0" borderId="3" xfId="15" applyNumberFormat="1" applyFont="1" applyBorder="1" applyAlignment="1">
      <alignment horizontal="left" vertical="center" wrapText="1"/>
    </xf>
    <xf numFmtId="0" fontId="0" fillId="0" borderId="7" xfId="0" applyBorder="1"/>
    <xf numFmtId="49" fontId="15" fillId="0" borderId="3" xfId="1" applyNumberFormat="1" applyFont="1" applyBorder="1" applyAlignment="1">
      <alignment horizontal="left" wrapText="1"/>
    </xf>
    <xf numFmtId="49" fontId="18" fillId="0" borderId="0" xfId="0" applyNumberFormat="1" applyFont="1" applyAlignment="1">
      <alignment horizontal="left"/>
    </xf>
    <xf numFmtId="0" fontId="25" fillId="0" borderId="0" xfId="2" applyFont="1" applyAlignment="1" applyProtection="1">
      <alignment wrapText="1"/>
    </xf>
    <xf numFmtId="177" fontId="17" fillId="0" borderId="8" xfId="1" applyNumberFormat="1" applyFont="1" applyBorder="1" applyAlignment="1">
      <alignment horizontal="right" wrapText="1"/>
    </xf>
    <xf numFmtId="177" fontId="37" fillId="0" borderId="7" xfId="0" applyNumberFormat="1" applyFont="1" applyBorder="1"/>
    <xf numFmtId="0" fontId="13" fillId="0" borderId="0" xfId="0" applyFont="1" applyAlignment="1">
      <alignment wrapText="1"/>
    </xf>
    <xf numFmtId="0" fontId="3" fillId="0" borderId="0" xfId="0" applyFont="1"/>
    <xf numFmtId="177" fontId="17" fillId="0" borderId="3" xfId="0" applyNumberFormat="1" applyFont="1" applyBorder="1" applyAlignment="1">
      <alignment horizontal="right" vertical="center"/>
    </xf>
    <xf numFmtId="177" fontId="38" fillId="0" borderId="3" xfId="0" applyNumberFormat="1" applyFont="1" applyBorder="1" applyAlignment="1">
      <alignment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2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49" fontId="15" fillId="0" borderId="8" xfId="1" applyNumberFormat="1" applyFont="1" applyBorder="1" applyAlignment="1">
      <alignment horizontal="left" vertical="center" wrapText="1"/>
    </xf>
    <xf numFmtId="49" fontId="15" fillId="0" borderId="7" xfId="1" applyNumberFormat="1" applyFont="1" applyBorder="1" applyAlignment="1">
      <alignment horizontal="left" vertical="center" wrapText="1"/>
    </xf>
    <xf numFmtId="0" fontId="15" fillId="0" borderId="0" xfId="0" applyFont="1"/>
    <xf numFmtId="0" fontId="0" fillId="0" borderId="0" xfId="0"/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zoomScale="80" zoomScaleNormal="80" zoomScaleSheetLayoutView="80" workbookViewId="0">
      <selection activeCell="C19" sqref="C19:D19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45.6328125" style="15" customWidth="1"/>
    <col min="5" max="5" width="20.453125" style="15" customWidth="1"/>
    <col min="6" max="6" width="13" style="5" customWidth="1"/>
    <col min="7" max="7" width="21.17968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58" t="s">
        <v>1</v>
      </c>
      <c r="D4" s="59"/>
      <c r="E4" s="34" t="s">
        <v>2</v>
      </c>
      <c r="F4" s="27"/>
      <c r="G4" s="26"/>
    </row>
    <row r="5" spans="1:13" ht="23" customHeight="1" x14ac:dyDescent="0.5">
      <c r="A5" s="2"/>
      <c r="B5" s="1"/>
      <c r="C5" s="59"/>
      <c r="D5" s="60"/>
      <c r="E5" s="38" t="s">
        <v>3</v>
      </c>
      <c r="F5" s="27"/>
      <c r="G5" s="28"/>
    </row>
    <row r="6" spans="1:13" ht="23" customHeight="1" thickBot="1" x14ac:dyDescent="0.55000000000000004">
      <c r="A6" s="2"/>
      <c r="B6" s="6"/>
      <c r="C6" s="6"/>
      <c r="D6" s="13"/>
      <c r="E6" s="39" t="s">
        <v>4</v>
      </c>
      <c r="F6" s="27"/>
      <c r="G6" s="28"/>
    </row>
    <row r="7" spans="1:13" s="4" customFormat="1" ht="32.25" customHeight="1" thickTop="1" x14ac:dyDescent="0.6">
      <c r="A7" s="7"/>
      <c r="B7" s="40" t="s">
        <v>5</v>
      </c>
      <c r="C7" s="49" t="s" ph="1">
        <v>40</v>
      </c>
      <c r="D7" s="14" ph="1"/>
      <c r="E7" s="47" t="s">
        <v>6</v>
      </c>
      <c r="F7" s="67" t="s">
        <v>49</v>
      </c>
      <c r="G7" s="57"/>
    </row>
    <row r="8" spans="1:13" s="4" customFormat="1" ht="29.25" customHeight="1" x14ac:dyDescent="0.6">
      <c r="A8" s="8"/>
      <c r="B8" s="41" t="s">
        <v>7</v>
      </c>
      <c r="C8" s="20" t="s" ph="1">
        <v>41</v>
      </c>
      <c r="D8" s="14" ph="1"/>
      <c r="E8" s="48" t="s">
        <v>8</v>
      </c>
      <c r="F8" s="71" t="s">
        <v>9</v>
      </c>
      <c r="G8" s="57"/>
    </row>
    <row r="9" spans="1:13" s="4" customFormat="1" ht="27.75" customHeight="1" x14ac:dyDescent="0.6">
      <c r="A9" s="9"/>
      <c r="B9" s="41" t="s">
        <v>10</v>
      </c>
      <c r="C9" s="50" t="s">
        <v>42</v>
      </c>
      <c r="D9" s="14"/>
      <c r="E9" s="47" t="s">
        <v>11</v>
      </c>
      <c r="F9" s="56" t="s">
        <v>12</v>
      </c>
      <c r="G9" s="57"/>
    </row>
    <row r="10" spans="1:13" s="4" customFormat="1" ht="27.5" customHeight="1" x14ac:dyDescent="0.6">
      <c r="A10" s="9"/>
      <c r="B10" s="41" t="s">
        <v>13</v>
      </c>
      <c r="C10" s="51"/>
      <c r="D10" s="14"/>
      <c r="E10" s="47" t="s">
        <v>14</v>
      </c>
      <c r="F10" s="56" t="s">
        <v>36</v>
      </c>
      <c r="G10" s="57"/>
    </row>
    <row r="11" spans="1:13" s="4" customFormat="1" ht="27.75" customHeight="1" x14ac:dyDescent="0.6">
      <c r="A11" s="9"/>
      <c r="B11" s="25" t="s">
        <v>15</v>
      </c>
      <c r="C11" s="52" t="s">
        <v>43</v>
      </c>
      <c r="D11" s="14"/>
      <c r="E11" s="47" t="s">
        <v>16</v>
      </c>
      <c r="F11" s="43" t="s">
        <v>17</v>
      </c>
    </row>
    <row r="12" spans="1:13" s="4" customFormat="1" ht="33" customHeight="1" x14ac:dyDescent="0.7">
      <c r="A12" s="9"/>
      <c r="B12" s="25"/>
      <c r="C12" s="72"/>
      <c r="D12" s="57"/>
      <c r="E12" s="14"/>
      <c r="F12" s="9"/>
      <c r="G12" s="9"/>
    </row>
    <row r="13" spans="1:13" s="4" customFormat="1" ht="30" customHeight="1" x14ac:dyDescent="0.6">
      <c r="A13" s="9"/>
      <c r="B13" s="37" t="s">
        <v>18</v>
      </c>
      <c r="C13" s="44" t="s">
        <v>37</v>
      </c>
      <c r="D13" s="14"/>
      <c r="E13" s="14"/>
      <c r="F13" s="9"/>
      <c r="G13" s="16"/>
      <c r="M13" s="14"/>
    </row>
    <row r="14" spans="1:13" s="27" customFormat="1" ht="34" customHeight="1" x14ac:dyDescent="0.7">
      <c r="A14" s="30" t="s">
        <v>19</v>
      </c>
      <c r="B14" s="31"/>
      <c r="C14" s="31"/>
      <c r="D14" s="32"/>
      <c r="E14" s="32"/>
      <c r="F14" s="33" t="s">
        <v>20</v>
      </c>
    </row>
    <row r="15" spans="1:13" s="4" customFormat="1" ht="39.75" customHeight="1" x14ac:dyDescent="0.6">
      <c r="A15" s="18" t="s">
        <v>21</v>
      </c>
      <c r="B15" s="19" t="s">
        <v>22</v>
      </c>
      <c r="C15" s="87" t="s">
        <v>23</v>
      </c>
      <c r="D15" s="69"/>
      <c r="E15" s="36" t="s">
        <v>24</v>
      </c>
      <c r="F15" s="19" t="s">
        <v>25</v>
      </c>
      <c r="G15" s="19" t="s">
        <v>26</v>
      </c>
    </row>
    <row r="16" spans="1:13" ht="181" customHeight="1" x14ac:dyDescent="0.4">
      <c r="A16" s="35">
        <f>IF(ISBLANK(B16),"",1)</f>
        <v>1</v>
      </c>
      <c r="B16" s="23" t="s">
        <v>44</v>
      </c>
      <c r="C16" s="68" t="s">
        <v>50</v>
      </c>
      <c r="D16" s="69"/>
      <c r="E16" s="45">
        <v>95000</v>
      </c>
      <c r="F16" s="46">
        <v>1</v>
      </c>
      <c r="G16" s="35">
        <f t="shared" ref="G16" si="0">IF(ISBLANK(E16),"",SUM(E16*F16))</f>
        <v>95000</v>
      </c>
    </row>
    <row r="17" spans="1:7" ht="27.75" customHeight="1" x14ac:dyDescent="0.45">
      <c r="A17" s="24"/>
      <c r="B17" s="29"/>
      <c r="C17" s="88"/>
      <c r="D17" s="89"/>
      <c r="E17" s="73" t="s">
        <v>45</v>
      </c>
      <c r="F17" s="74"/>
      <c r="G17" s="53">
        <f>SUM(G16:G16)</f>
        <v>95000</v>
      </c>
    </row>
    <row r="18" spans="1:7" ht="27.75" customHeight="1" x14ac:dyDescent="0.45">
      <c r="A18" s="21" t="s">
        <v>27</v>
      </c>
      <c r="B18" s="21" t="s">
        <v>28</v>
      </c>
      <c r="C18" s="70" t="s">
        <v>29</v>
      </c>
      <c r="D18" s="69"/>
      <c r="E18" s="63" t="s">
        <v>46</v>
      </c>
      <c r="F18" s="64"/>
      <c r="G18" s="54">
        <f>G17</f>
        <v>95000</v>
      </c>
    </row>
    <row r="19" spans="1:7" s="10" customFormat="1" ht="29.25" customHeight="1" x14ac:dyDescent="0.45">
      <c r="A19" s="24"/>
      <c r="B19" s="21" t="s">
        <v>30</v>
      </c>
      <c r="C19" s="70" t="s">
        <v>31</v>
      </c>
      <c r="D19" s="69"/>
      <c r="E19" s="77" t="s">
        <v>47</v>
      </c>
      <c r="F19" s="78"/>
      <c r="G19" s="54">
        <f>G18*0.05</f>
        <v>4750</v>
      </c>
    </row>
    <row r="20" spans="1:7" s="10" customFormat="1" ht="26.25" customHeight="1" x14ac:dyDescent="0.45">
      <c r="A20" s="24"/>
      <c r="B20" s="21"/>
      <c r="C20" s="70"/>
      <c r="D20" s="69"/>
      <c r="E20" s="77" t="s">
        <v>48</v>
      </c>
      <c r="F20" s="78"/>
      <c r="G20" s="55">
        <f>G18+G19</f>
        <v>99750</v>
      </c>
    </row>
    <row r="21" spans="1:7" s="10" customFormat="1" ht="26.25" customHeight="1" x14ac:dyDescent="0.45">
      <c r="A21" s="3"/>
      <c r="B21" s="42" t="s">
        <v>32</v>
      </c>
      <c r="C21" s="65" t="s">
        <v>35</v>
      </c>
      <c r="D21" s="66"/>
      <c r="E21" s="66"/>
      <c r="F21" s="66"/>
      <c r="G21" s="66"/>
    </row>
    <row r="22" spans="1:7" s="10" customFormat="1" ht="27" customHeight="1" x14ac:dyDescent="0.6">
      <c r="A22" s="3"/>
      <c r="B22" s="4"/>
      <c r="C22" s="90" t="s">
        <v>38</v>
      </c>
      <c r="D22" s="86"/>
      <c r="E22" s="91"/>
      <c r="F22" s="17"/>
      <c r="G22" s="17"/>
    </row>
    <row r="23" spans="1:7" s="10" customFormat="1" ht="21.5" customHeight="1" x14ac:dyDescent="0.6">
      <c r="A23" s="3"/>
      <c r="B23" s="4"/>
      <c r="C23" s="85" t="s">
        <v>39</v>
      </c>
      <c r="D23" s="86"/>
      <c r="E23" s="86"/>
      <c r="F23" s="86"/>
      <c r="G23" s="86"/>
    </row>
    <row r="24" spans="1:7" s="10" customFormat="1" ht="31.5" customHeight="1" x14ac:dyDescent="0.6">
      <c r="A24" s="3"/>
      <c r="B24" s="4"/>
      <c r="C24" s="84"/>
      <c r="D24" s="62"/>
      <c r="E24" s="22"/>
      <c r="F24" s="22"/>
      <c r="G24" s="22"/>
    </row>
    <row r="25" spans="1:7" s="10" customFormat="1" ht="31.5" customHeight="1" x14ac:dyDescent="0.6">
      <c r="A25" s="3"/>
      <c r="B25" s="4"/>
      <c r="C25" s="61"/>
      <c r="D25" s="62"/>
    </row>
    <row r="26" spans="1:7" s="10" customFormat="1" ht="31.5" customHeight="1" x14ac:dyDescent="0.6">
      <c r="A26" s="3"/>
      <c r="B26" s="4"/>
      <c r="C26" s="61"/>
      <c r="D26" s="62"/>
      <c r="E26" s="62"/>
      <c r="F26" s="62"/>
      <c r="G26" s="62"/>
    </row>
    <row r="27" spans="1:7" s="10" customFormat="1" ht="31.5" customHeight="1" x14ac:dyDescent="0.6">
      <c r="A27" s="3"/>
      <c r="B27" s="4"/>
      <c r="C27" s="61"/>
      <c r="D27" s="62"/>
      <c r="E27" s="62"/>
      <c r="F27" s="62"/>
      <c r="G27" s="62"/>
    </row>
    <row r="28" spans="1:7" s="10" customFormat="1" ht="31.5" customHeight="1" x14ac:dyDescent="0.6">
      <c r="A28" s="3"/>
      <c r="B28" s="4"/>
      <c r="C28" s="79"/>
      <c r="D28" s="62"/>
      <c r="E28" s="62"/>
      <c r="F28" s="62"/>
      <c r="G28" s="62"/>
    </row>
    <row r="29" spans="1:7" s="10" customFormat="1" ht="31.5" customHeight="1" x14ac:dyDescent="0.6">
      <c r="A29" s="3"/>
      <c r="B29" s="4"/>
      <c r="C29" s="79"/>
      <c r="D29" s="62"/>
      <c r="E29" s="62"/>
      <c r="F29" s="62"/>
      <c r="G29" s="62"/>
    </row>
    <row r="30" spans="1:7" s="10" customFormat="1" ht="31.5" customHeight="1" x14ac:dyDescent="0.6">
      <c r="A30" s="3"/>
      <c r="B30" s="4"/>
      <c r="C30" s="79"/>
      <c r="D30" s="62"/>
      <c r="E30" s="62"/>
      <c r="F30" s="62"/>
      <c r="G30" s="62"/>
    </row>
    <row r="31" spans="1:7" s="2" customFormat="1" ht="27.75" customHeight="1" thickBot="1" x14ac:dyDescent="0.5">
      <c r="A31" s="12"/>
      <c r="B31" s="82" t="s">
        <v>33</v>
      </c>
      <c r="C31" s="83"/>
      <c r="D31" s="83"/>
    </row>
    <row r="32" spans="1:7" s="2" customFormat="1" ht="33" customHeight="1" x14ac:dyDescent="0.45">
      <c r="B32" s="80" t="s">
        <v>34</v>
      </c>
      <c r="C32" s="81"/>
      <c r="D32" s="81"/>
    </row>
    <row r="33" spans="2:7" s="2" customFormat="1" ht="33" customHeight="1" x14ac:dyDescent="0.6">
      <c r="B33" s="20"/>
      <c r="C33" s="14"/>
      <c r="D33" s="14"/>
    </row>
    <row r="34" spans="2:7" s="2" customFormat="1" ht="47.25" customHeight="1" x14ac:dyDescent="0.6">
      <c r="B34" s="75"/>
      <c r="C34" s="76"/>
      <c r="D34" s="76"/>
      <c r="E34" s="76"/>
      <c r="F34" s="76"/>
      <c r="G34" s="76"/>
    </row>
    <row r="35" spans="2:7" s="2" customFormat="1" ht="45" customHeight="1" x14ac:dyDescent="0.45"/>
    <row r="36" spans="2:7" s="2" customFormat="1" ht="20" customHeight="1" x14ac:dyDescent="0.45"/>
    <row r="37" spans="2:7" x14ac:dyDescent="0.4">
      <c r="D37" s="5"/>
      <c r="E37" s="5"/>
    </row>
    <row r="38" spans="2:7" x14ac:dyDescent="0.4">
      <c r="D38" s="5"/>
      <c r="E38" s="5"/>
    </row>
    <row r="39" spans="2:7" x14ac:dyDescent="0.4">
      <c r="D39" s="5"/>
      <c r="E39" s="5"/>
    </row>
    <row r="40" spans="2:7" x14ac:dyDescent="0.4">
      <c r="D40" s="5"/>
      <c r="E40" s="5"/>
    </row>
    <row r="41" spans="2:7" x14ac:dyDescent="0.4">
      <c r="D41" s="5"/>
      <c r="E41" s="5"/>
    </row>
    <row r="42" spans="2:7" x14ac:dyDescent="0.4">
      <c r="D42" s="5"/>
      <c r="E42" s="5"/>
    </row>
    <row r="43" spans="2:7" x14ac:dyDescent="0.4">
      <c r="D43" s="5"/>
      <c r="E43" s="5"/>
    </row>
    <row r="44" spans="2:7" x14ac:dyDescent="0.4">
      <c r="D44" s="5"/>
      <c r="E44" s="5"/>
    </row>
    <row r="45" spans="2:7" x14ac:dyDescent="0.4">
      <c r="D45" s="5"/>
      <c r="E45" s="5"/>
    </row>
    <row r="46" spans="2:7" x14ac:dyDescent="0.4">
      <c r="D46" s="5"/>
      <c r="E46" s="5"/>
    </row>
    <row r="47" spans="2:7" x14ac:dyDescent="0.4">
      <c r="D47" s="5"/>
      <c r="E47" s="5"/>
    </row>
    <row r="48" spans="2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</sheetData>
  <mergeCells count="29">
    <mergeCell ref="B34:G34"/>
    <mergeCell ref="E20:F20"/>
    <mergeCell ref="C29:G29"/>
    <mergeCell ref="E19:F19"/>
    <mergeCell ref="C30:G30"/>
    <mergeCell ref="B32:D32"/>
    <mergeCell ref="B31:D31"/>
    <mergeCell ref="C28:G28"/>
    <mergeCell ref="C24:D24"/>
    <mergeCell ref="C20:D20"/>
    <mergeCell ref="C23:G23"/>
    <mergeCell ref="C27:G27"/>
    <mergeCell ref="C26:G26"/>
    <mergeCell ref="C19:D19"/>
    <mergeCell ref="C22:E22"/>
    <mergeCell ref="F9:G9"/>
    <mergeCell ref="C4:D5"/>
    <mergeCell ref="C25:D25"/>
    <mergeCell ref="E18:F18"/>
    <mergeCell ref="C21:G21"/>
    <mergeCell ref="F7:G7"/>
    <mergeCell ref="C16:D16"/>
    <mergeCell ref="C18:D18"/>
    <mergeCell ref="F8:G8"/>
    <mergeCell ref="C12:D12"/>
    <mergeCell ref="E17:F17"/>
    <mergeCell ref="F10:G10"/>
    <mergeCell ref="C15:D15"/>
    <mergeCell ref="C17:D17"/>
  </mergeCells>
  <phoneticPr fontId="1" type="noConversion"/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2024-08-28T09:15:17Z</cp:lastPrinted>
  <dcterms:created xsi:type="dcterms:W3CDTF">1999-12-09T02:36:51Z</dcterms:created>
  <dcterms:modified xsi:type="dcterms:W3CDTF">2025-06-06T11:15:33Z</dcterms:modified>
</cp:coreProperties>
</file>