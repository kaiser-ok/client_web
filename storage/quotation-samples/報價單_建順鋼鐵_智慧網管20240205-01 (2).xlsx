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5D5328DE-210C-4332-BAD1-287825ACB61E}" xr6:coauthVersionLast="47" xr6:coauthVersionMax="47" xr10:uidLastSave="{00000000-0000-0000-0000-000000000000}"/>
  <bookViews>
    <workbookView xWindow="28680" yWindow="-120" windowWidth="29040" windowHeight="15840" tabRatio="458" xr2:uid="{00000000-000D-0000-FFFF-FFFF00000000}"/>
  </bookViews>
  <sheets>
    <sheet name="sale_order" sheetId="1" r:id="rId1"/>
  </sheets>
  <definedNames>
    <definedName name="_xlnm.Print_Area" localSheetId="0">sale_order!$A$1:$G$36</definedName>
  </definedNames>
  <calcPr calcId="191029"/>
</workbook>
</file>

<file path=xl/calcChain.xml><?xml version="1.0" encoding="utf-8"?>
<calcChain xmlns="http://schemas.openxmlformats.org/spreadsheetml/2006/main">
  <c r="G18" i="1" l="1"/>
  <c r="G17" i="1"/>
  <c r="G16" i="1" l="1"/>
  <c r="A16" i="1"/>
  <c r="G20" i="1" l="1"/>
  <c r="G19" i="1"/>
  <c r="G21" i="1" s="1"/>
  <c r="G22" i="1" l="1"/>
</calcChain>
</file>

<file path=xl/sharedStrings.xml><?xml version="1.0" encoding="utf-8"?>
<sst xmlns="http://schemas.openxmlformats.org/spreadsheetml/2006/main" count="53" uniqueCount="51">
  <si>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</si>
  <si>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</si>
  <si>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</si>
  <si>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</si>
  <si>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</si>
  <si>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</si>
  <si>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</si>
  <si>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</si>
  <si>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</si>
  <si>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聯 絡 電 話：</t>
  </si>
  <si>
    <t>公 司 電 話：</t>
  </si>
  <si>
    <t>E-Mail：</t>
  </si>
  <si>
    <t>cluster@siantech.com.tw</t>
  </si>
  <si>
    <t xml:space="preserve">    E-Mail  ：</t>
  </si>
  <si>
    <t>vick@gentrice.net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</si>
  <si>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</si>
  <si>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</si>
  <si>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</si>
  <si>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</si>
  <si>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</si>
  <si>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</si>
  <si>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</si>
  <si>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</si>
  <si>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</si>
  <si>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</si>
  <si>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</si>
  <si>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</si>
  <si>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未稅小計：</t>
  </si>
  <si>
    <t>付款條件：</t>
  </si>
  <si>
    <t>5%營業稅：</t>
  </si>
  <si>
    <t>含稅金額：</t>
  </si>
  <si>
    <t>Remark ：</t>
  </si>
  <si>
    <t>Signature</t>
  </si>
  <si>
    <t>本報價單於取得客戶之同意簽章後，視為正式訂單即刻生效。</t>
  </si>
  <si>
    <t>黃昱維vick</t>
    <phoneticPr fontId="1" type="noConversion"/>
  </si>
  <si>
    <t>02-8266-9200#110</t>
    <phoneticPr fontId="1" type="noConversion"/>
  </si>
  <si>
    <t>0953-3375-626</t>
    <phoneticPr fontId="1" type="noConversion"/>
  </si>
  <si>
    <t>謝元博 先生</t>
    <phoneticPr fontId="1" type="noConversion"/>
  </si>
  <si>
    <t>司安網路科技有限公司</t>
    <phoneticPr fontId="1" type="noConversion"/>
  </si>
  <si>
    <t>0972-355-160</t>
    <phoneticPr fontId="1" type="noConversion"/>
  </si>
  <si>
    <t>20240205-01</t>
    <phoneticPr fontId="1" type="noConversion"/>
  </si>
  <si>
    <t>即期或月結30天，每年2月開發票請款。</t>
    <phoneticPr fontId="1" type="noConversion"/>
  </si>
  <si>
    <t>租斷三年，第四年起MA 10%</t>
    <phoneticPr fontId="1" type="noConversion"/>
  </si>
  <si>
    <t>1.報價單有效期限為 即日起30日內(含假日)有效</t>
    <phoneticPr fontId="1" type="noConversion"/>
  </si>
  <si>
    <t>智慧網管系統
第一年 (3-1)</t>
    <phoneticPr fontId="1" type="noConversion"/>
  </si>
  <si>
    <t>智慧網管系統
第二年 (3-2)</t>
    <phoneticPr fontId="1" type="noConversion"/>
  </si>
  <si>
    <t>智慧網管系統
第三年 (3-3)</t>
    <phoneticPr fontId="1" type="noConversion"/>
  </si>
  <si>
    <t>苗栗通宵-建順煉鋼案</t>
    <phoneticPr fontId="1" type="noConversion"/>
  </si>
  <si>
    <t>智慧網管系統 x2 (含關係企業)
提供 PowerEdge R230 機架式伺服器 一台。
設備管理授權150台。
設備3年租斷，分三期付款，每年2月，開發票請款。
起始日: 2024/02/01~2025/01/31</t>
    <phoneticPr fontId="1" type="noConversion"/>
  </si>
  <si>
    <t>智慧網管系統 x2 (含關係企業)
PowerEdge R230 機架式伺服器 一台。
設備管理授權150台。
設備3年租斷，分三期付款，每年2月，開發票請款。
起始日: 2025/02/01~2026/01/31</t>
    <phoneticPr fontId="1" type="noConversion"/>
  </si>
  <si>
    <t>智慧網管系統 x2 (含關係企業)
PowerEdge R230 機架式伺服器 一台。
設備管理授權150台。
設備3年租斷，分三期付款，每年2月，開發票請款。
起始日: 2026/02/01~2027/01/31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</si>
</sst>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  <font>
      <b/>
      <sz val="20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85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76" fontId="16" fillId="0" borderId="3" xfId="1" applyNumberFormat="1" applyFont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1" fillId="0" borderId="0" xfId="0" applyFont="1" applyAlignment="1">
      <alignment wrapText="1"/>
    </xf>
    <xf numFmtId="49" fontId="19" fillId="0" borderId="0" xfId="0" applyNumberFormat="1" applyFont="1" applyAlignment="1">
      <alignment horizontal="left"/>
    </xf>
    <xf numFmtId="0" fontId="26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9" fillId="0" borderId="0" xfId="0" applyFont="1"/>
    <xf numFmtId="0" fontId="30" fillId="0" borderId="0" xfId="0" applyFont="1"/>
    <xf numFmtId="58" fontId="31" fillId="0" borderId="2" xfId="0" applyNumberFormat="1" applyFont="1" applyBorder="1" applyAlignment="1">
      <alignment horizontal="right"/>
    </xf>
    <xf numFmtId="0" fontId="31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28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49" fontId="33" fillId="0" borderId="0" xfId="0" applyNumberFormat="1" applyFont="1" applyAlignment="1">
      <alignment horizontal="left"/>
    </xf>
    <xf numFmtId="3" fontId="15" fillId="0" borderId="7" xfId="1" applyNumberFormat="1" applyFont="1" applyBorder="1" applyAlignment="1">
      <alignment horizontal="right" vertical="center"/>
    </xf>
    <xf numFmtId="49" fontId="33" fillId="0" borderId="0" xfId="0" applyNumberFormat="1" applyFont="1" applyAlignment="1">
      <alignment horizontal="left"/>
    </xf>
    <xf numFmtId="0" fontId="34" fillId="0" borderId="0" xfId="0" applyFont="1"/>
    <xf numFmtId="49" fontId="28" fillId="0" borderId="0" xfId="0" applyNumberFormat="1" applyFont="1" applyAlignment="1">
      <alignment horizontal="left"/>
    </xf>
    <xf numFmtId="0" fontId="33" fillId="0" borderId="0" xfId="0" applyFont="1"/>
    <xf numFmtId="0" fontId="32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0" fillId="0" borderId="0" xfId="0" applyFont="1"/>
    <xf numFmtId="49" fontId="33" fillId="0" borderId="2" xfId="0" applyNumberFormat="1" applyFont="1" applyBorder="1" applyAlignment="1">
      <alignment horizontal="left"/>
    </xf>
    <xf numFmtId="0" fontId="35" fillId="0" borderId="2" xfId="0" applyFont="1" applyBorder="1"/>
    <xf numFmtId="38" fontId="17" fillId="0" borderId="3" xfId="1" applyNumberFormat="1" applyFont="1" applyBorder="1" applyAlignment="1">
      <alignment horizontal="right" wrapText="1"/>
    </xf>
    <xf numFmtId="0" fontId="0" fillId="0" borderId="7" xfId="0" applyBorder="1"/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0" fontId="8" fillId="0" borderId="0" xfId="0" applyFont="1"/>
    <xf numFmtId="49" fontId="15" fillId="0" borderId="3" xfId="15" applyNumberFormat="1" applyFont="1" applyBorder="1" applyAlignment="1">
      <alignment horizontal="left" vertical="center" wrapText="1"/>
    </xf>
    <xf numFmtId="49" fontId="15" fillId="0" borderId="8" xfId="1" applyNumberFormat="1" applyFont="1" applyBorder="1" applyAlignment="1">
      <alignment horizontal="left" wrapText="1"/>
    </xf>
    <xf numFmtId="49" fontId="15" fillId="0" borderId="7" xfId="1" applyNumberFormat="1" applyFont="1" applyBorder="1" applyAlignment="1">
      <alignment horizontal="left" wrapText="1"/>
    </xf>
    <xf numFmtId="0" fontId="23" fillId="0" borderId="0" xfId="2" applyFont="1" applyAlignment="1" applyProtection="1">
      <alignment wrapText="1"/>
    </xf>
    <xf numFmtId="49" fontId="15" fillId="0" borderId="3" xfId="1" applyNumberFormat="1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18" fillId="0" borderId="0" xfId="0" applyFont="1"/>
    <xf numFmtId="0" fontId="18" fillId="0" borderId="0" xfId="0" applyFont="1" applyAlignment="1">
      <alignment horizontal="left"/>
    </xf>
    <xf numFmtId="49" fontId="15" fillId="0" borderId="3" xfId="1" applyNumberFormat="1" applyFont="1" applyBorder="1" applyAlignment="1">
      <alignment horizontal="left" wrapText="1"/>
    </xf>
    <xf numFmtId="176" fontId="6" fillId="2" borderId="3" xfId="1" applyNumberFormat="1" applyFont="1" applyFill="1" applyBorder="1" applyAlignment="1">
      <alignment horizontal="left"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</cellXfs>
  <cellStyles count="52">
    <cellStyle name="一般" xfId="0" builtinId="0"/>
    <cellStyle name="千分位" xfId="1" builtinId="3"/>
    <cellStyle name="千分位 10" xfId="19" xr:uid="{00000000-0005-0000-0000-000013000000}"/>
    <cellStyle name="千分位 10 2" xfId="44" xr:uid="{0D9D2204-6CC5-4ED0-B906-9DB24B8F61E3}"/>
    <cellStyle name="千分位 11" xfId="27" xr:uid="{3E04FB74-4AF1-4556-A917-4FE4339153B3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2 2 2" xfId="51" xr:uid="{2DABC7DB-7BE4-4FC9-BD23-6FF3CFEF9B8F}"/>
    <cellStyle name="千分位 2 2 2 3" xfId="40" xr:uid="{1FF0C7A7-A990-43FE-854A-8F08B75270D9}"/>
    <cellStyle name="千分位 2 2 3" xfId="22" xr:uid="{00000000-0005-0000-0000-000016000000}"/>
    <cellStyle name="千分位 2 2 3 2" xfId="47" xr:uid="{96A0072F-AD40-4E1B-825C-1B1B42817632}"/>
    <cellStyle name="千分位 2 2 4" xfId="31" xr:uid="{7DD702F3-337A-4ACB-8BDF-CD7BAA805A81}"/>
    <cellStyle name="千分位 2 3" xfId="13" xr:uid="{00000000-0005-0000-0000-00000D000000}"/>
    <cellStyle name="千分位 2 3 2" xfId="24" xr:uid="{00000000-0005-0000-0000-000018000000}"/>
    <cellStyle name="千分位 2 3 2 2" xfId="49" xr:uid="{8E59CCCD-3608-4CA1-9F07-323CA1892432}"/>
    <cellStyle name="千分位 2 3 3" xfId="38" xr:uid="{1E34E790-8A4C-4718-A656-2F4AC73F1191}"/>
    <cellStyle name="千分位 2 4" xfId="10" xr:uid="{00000000-0005-0000-0000-00000A000000}"/>
    <cellStyle name="千分位 2 4 2" xfId="35" xr:uid="{FA7958F9-EA1F-42DE-B2BD-C371E13F3352}"/>
    <cellStyle name="千分位 2 5" xfId="17" xr:uid="{00000000-0005-0000-0000-000011000000}"/>
    <cellStyle name="千分位 2 5 2" xfId="42" xr:uid="{7403F03B-94F9-40AD-8482-1FE927BED11D}"/>
    <cellStyle name="千分位 2 6" xfId="20" xr:uid="{00000000-0005-0000-0000-000014000000}"/>
    <cellStyle name="千分位 2 6 2" xfId="45" xr:uid="{2FDD8472-605D-4926-9A55-EB697A379A3C}"/>
    <cellStyle name="千分位 2 7" xfId="29" xr:uid="{B96F4794-85E5-4D3B-8F34-382BDC78BFF3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2 2 2" xfId="50" xr:uid="{F8444EA4-CAFC-4C5E-83D8-518F02E42A7E}"/>
    <cellStyle name="千分位 3 2 3" xfId="39" xr:uid="{B389215C-0DD1-4139-97DF-0CAACC63290B}"/>
    <cellStyle name="千分位 3 3" xfId="11" xr:uid="{00000000-0005-0000-0000-00000B000000}"/>
    <cellStyle name="千分位 3 3 2" xfId="36" xr:uid="{E4663C10-0925-4378-8495-AC0FE3FF69B5}"/>
    <cellStyle name="千分位 3 4" xfId="18" xr:uid="{00000000-0005-0000-0000-000012000000}"/>
    <cellStyle name="千分位 3 4 2" xfId="43" xr:uid="{9FA832A5-CD9D-440B-BBC2-5207E5F32EFA}"/>
    <cellStyle name="千分位 3 5" xfId="21" xr:uid="{00000000-0005-0000-0000-000015000000}"/>
    <cellStyle name="千分位 3 5 2" xfId="46" xr:uid="{1D933C4A-E176-430D-A287-F3908CE241D5}"/>
    <cellStyle name="千分位 3 6" xfId="30" xr:uid="{652C9837-51D0-4398-B074-2E3C4BCD6E4E}"/>
    <cellStyle name="千分位 4" xfId="12" xr:uid="{00000000-0005-0000-0000-00000C000000}"/>
    <cellStyle name="千分位 4 2" xfId="23" xr:uid="{00000000-0005-0000-0000-000017000000}"/>
    <cellStyle name="千分位 4 2 2" xfId="48" xr:uid="{8E4EAC7E-5224-4BF2-880E-F2CE86B4729A}"/>
    <cellStyle name="千分位 4 3" xfId="37" xr:uid="{45AB912C-D1DD-4C7D-9689-CF9D86E38F99}"/>
    <cellStyle name="千分位 5" xfId="9" xr:uid="{00000000-0005-0000-0000-000009000000}"/>
    <cellStyle name="千分位 5 2" xfId="34" xr:uid="{4A56576B-8EEF-411A-9C02-0D61ED8AFA3A}"/>
    <cellStyle name="千分位 6" xfId="8" xr:uid="{00000000-0005-0000-0000-000008000000}"/>
    <cellStyle name="千分位 6 2" xfId="33" xr:uid="{482D0D29-55CD-495F-994A-08A6BBEECFF6}"/>
    <cellStyle name="千分位 7" xfId="7" xr:uid="{00000000-0005-0000-0000-000007000000}"/>
    <cellStyle name="千分位 7 2" xfId="32" xr:uid="{431C12D3-1061-4FD8-9D0D-F1FC20E90F25}"/>
    <cellStyle name="千分位 8" xfId="3" xr:uid="{00000000-0005-0000-0000-000003000000}"/>
    <cellStyle name="千分位 8 2" xfId="28" xr:uid="{FE46C66A-09AE-4624-8CBE-8A54B1D80F61}"/>
    <cellStyle name="千分位 9" xfId="16" xr:uid="{00000000-0005-0000-0000-000010000000}"/>
    <cellStyle name="千分位 9 2" xfId="41" xr:uid="{F546AEAE-D7FA-4155-AD24-CD28AA552037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50"/>
  <sheetViews>
    <sheetView tabSelected="1" view="pageBreakPreview" topLeftCell="A2" zoomScale="80" zoomScaleNormal="80" zoomScaleSheetLayoutView="80" workbookViewId="0">
      <selection activeCell="F18" sqref="F18"/>
    </sheetView>
  </sheetViews>
  <sheetFormatPr defaultColWidth="9" defaultRowHeight="17" x14ac:dyDescent="0.4"/>
  <cols>
    <col min="1" max="1" width="7.36328125" style="5" customWidth="1"/>
    <col min="2" max="2" width="33.08984375" style="5" customWidth="1"/>
    <col min="3" max="3" width="30.08984375" style="5" customWidth="1"/>
    <col min="4" max="4" width="44.26953125" style="15" customWidth="1"/>
    <col min="5" max="5" width="22" style="15" customWidth="1"/>
    <col min="6" max="6" width="13" style="5" customWidth="1"/>
    <col min="7" max="7" width="21.089843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53" t="s">
        <v>1</v>
      </c>
      <c r="D4" s="54"/>
      <c r="E4" s="34" t="s">
        <v>2</v>
      </c>
      <c r="F4" s="27"/>
      <c r="G4" s="26"/>
    </row>
    <row r="5" spans="1:13" ht="23.15" customHeight="1" x14ac:dyDescent="0.5">
      <c r="A5" s="2"/>
      <c r="B5" s="1"/>
      <c r="C5" s="54"/>
      <c r="D5" s="55"/>
      <c r="E5" s="39" t="s">
        <v>3</v>
      </c>
      <c r="F5" s="27"/>
      <c r="G5" s="28"/>
    </row>
    <row r="6" spans="1:13" ht="23.15" customHeight="1" thickBot="1" x14ac:dyDescent="0.55000000000000004">
      <c r="A6" s="2"/>
      <c r="B6" s="6"/>
      <c r="C6" s="6"/>
      <c r="D6" s="13"/>
      <c r="E6" s="40" t="s">
        <v>4</v>
      </c>
      <c r="F6" s="27"/>
      <c r="G6" s="28"/>
    </row>
    <row r="7" spans="1:13" s="4" customFormat="1" ht="32.25" customHeight="1" thickTop="1" x14ac:dyDescent="0.6">
      <c r="A7" s="7"/>
      <c r="B7" s="41" t="s">
        <v>5</v>
      </c>
      <c r="C7" s="58" t="s">
        <v>38</v>
      </c>
      <c r="D7" s="59"/>
      <c r="E7" s="83" t="s">
        <v>6</v>
      </c>
      <c r="F7" s="64" t="s">
        <v>40</v>
      </c>
      <c r="G7" s="65"/>
    </row>
    <row r="8" spans="1:13" s="4" customFormat="1" ht="29.25" customHeight="1" x14ac:dyDescent="0.6">
      <c r="A8" s="8"/>
      <c r="B8" s="42" t="s">
        <v>7</v>
      </c>
      <c r="C8" s="51" t="s">
        <v>37</v>
      </c>
      <c r="D8" s="52"/>
      <c r="E8" s="84" t="s">
        <v>8</v>
      </c>
      <c r="F8" s="49" t="s">
        <v>34</v>
      </c>
      <c r="G8" s="50"/>
    </row>
    <row r="9" spans="1:13" s="4" customFormat="1" ht="27.75" customHeight="1" x14ac:dyDescent="0.6">
      <c r="A9" s="9"/>
      <c r="B9" s="42" t="s">
        <v>9</v>
      </c>
      <c r="C9" s="49" t="s">
        <v>39</v>
      </c>
      <c r="D9" s="52"/>
      <c r="E9" s="42" t="s">
        <v>10</v>
      </c>
      <c r="F9" s="49" t="s">
        <v>35</v>
      </c>
      <c r="G9" s="50"/>
    </row>
    <row r="10" spans="1:13" s="4" customFormat="1" ht="27.65" customHeight="1" x14ac:dyDescent="0.6">
      <c r="A10" s="9"/>
      <c r="B10" s="42" t="s">
        <v>10</v>
      </c>
      <c r="C10" s="49"/>
      <c r="D10" s="52"/>
      <c r="E10" s="42" t="s">
        <v>9</v>
      </c>
      <c r="F10" s="49" t="s">
        <v>36</v>
      </c>
      <c r="G10" s="50"/>
    </row>
    <row r="11" spans="1:13" s="4" customFormat="1" ht="27.75" customHeight="1" x14ac:dyDescent="0.6">
      <c r="A11" s="9"/>
      <c r="B11" s="25" t="s">
        <v>11</v>
      </c>
      <c r="C11" s="51" t="s">
        <v>12</v>
      </c>
      <c r="D11" s="52"/>
      <c r="E11" s="83" t="s">
        <v>13</v>
      </c>
      <c r="F11" s="44" t="s">
        <v>14</v>
      </c>
    </row>
    <row r="12" spans="1:13" s="4" customFormat="1" ht="33" customHeight="1" x14ac:dyDescent="0.7">
      <c r="A12" s="9"/>
      <c r="B12" s="25"/>
      <c r="C12" s="69"/>
      <c r="D12" s="65"/>
      <c r="E12" s="14"/>
      <c r="F12" s="9"/>
      <c r="G12" s="9"/>
    </row>
    <row r="13" spans="1:13" s="4" customFormat="1" ht="30" customHeight="1" x14ac:dyDescent="0.6">
      <c r="A13" s="9"/>
      <c r="B13" s="38" t="s">
        <v>15</v>
      </c>
      <c r="C13" s="47" t="s">
        <v>47</v>
      </c>
      <c r="D13" s="14"/>
      <c r="E13" s="14"/>
      <c r="F13" s="9"/>
      <c r="G13" s="16"/>
      <c r="M13" s="14"/>
    </row>
    <row r="14" spans="1:13" s="27" customFormat="1" ht="34" customHeight="1" x14ac:dyDescent="0.7">
      <c r="A14" s="30" t="s">
        <v>16</v>
      </c>
      <c r="B14" s="31"/>
      <c r="C14" s="31"/>
      <c r="D14" s="32"/>
      <c r="E14" s="32"/>
      <c r="F14" s="33" t="s">
        <v>17</v>
      </c>
    </row>
    <row r="15" spans="1:13" s="4" customFormat="1" ht="39.75" customHeight="1" x14ac:dyDescent="0.6">
      <c r="A15" s="18" t="s">
        <v>18</v>
      </c>
      <c r="B15" s="19" t="s">
        <v>19</v>
      </c>
      <c r="C15" s="82" t="s">
        <v>20</v>
      </c>
      <c r="D15" s="61"/>
      <c r="E15" s="36" t="s">
        <v>21</v>
      </c>
      <c r="F15" s="19" t="s">
        <v>22</v>
      </c>
      <c r="G15" s="19" t="s">
        <v>23</v>
      </c>
    </row>
    <row r="16" spans="1:13" ht="111" customHeight="1" x14ac:dyDescent="0.4">
      <c r="A16" s="35">
        <f>IF(ISBLANK(B16),"",1)</f>
        <v>1</v>
      </c>
      <c r="B16" s="23" t="s">
        <v>44</v>
      </c>
      <c r="C16" s="66" t="s">
        <v>48</v>
      </c>
      <c r="D16" s="61"/>
      <c r="E16" s="45">
        <v>133300</v>
      </c>
      <c r="F16" s="46">
        <v>1</v>
      </c>
      <c r="G16" s="35">
        <f t="shared" ref="G16:G18" si="0">IF(ISBLANK(E16),"",SUM(E16*F16))</f>
        <v>133300</v>
      </c>
    </row>
    <row r="17" spans="1:7" ht="111" customHeight="1" x14ac:dyDescent="0.4">
      <c r="A17" s="35">
        <v>2</v>
      </c>
      <c r="B17" s="23" t="s">
        <v>45</v>
      </c>
      <c r="C17" s="66" t="s">
        <v>49</v>
      </c>
      <c r="D17" s="61"/>
      <c r="E17" s="45">
        <v>133300</v>
      </c>
      <c r="F17" s="48">
        <v>1</v>
      </c>
      <c r="G17" s="35">
        <f t="shared" si="0"/>
        <v>133300</v>
      </c>
    </row>
    <row r="18" spans="1:7" ht="111" customHeight="1" x14ac:dyDescent="0.4">
      <c r="A18" s="35">
        <v>3</v>
      </c>
      <c r="B18" s="23" t="s">
        <v>46</v>
      </c>
      <c r="C18" s="66" t="s">
        <v>50</v>
      </c>
      <c r="D18" s="61"/>
      <c r="E18" s="45">
        <v>133400</v>
      </c>
      <c r="F18" s="48">
        <v>1</v>
      </c>
      <c r="G18" s="35">
        <f t="shared" si="0"/>
        <v>133400</v>
      </c>
    </row>
    <row r="19" spans="1:7" ht="27.75" customHeight="1" x14ac:dyDescent="0.45">
      <c r="A19" s="24"/>
      <c r="B19" s="29"/>
      <c r="C19" s="70"/>
      <c r="D19" s="61"/>
      <c r="E19" s="60" t="s">
        <v>24</v>
      </c>
      <c r="F19" s="61"/>
      <c r="G19" s="37">
        <f>(G16+G17+G18)</f>
        <v>400000</v>
      </c>
    </row>
    <row r="20" spans="1:7" ht="27.75" customHeight="1" x14ac:dyDescent="0.45">
      <c r="A20" s="21" t="s">
        <v>25</v>
      </c>
      <c r="B20" s="21" t="s">
        <v>26</v>
      </c>
      <c r="C20" s="67" t="s">
        <v>42</v>
      </c>
      <c r="D20" s="68"/>
      <c r="E20" s="60" t="s">
        <v>27</v>
      </c>
      <c r="F20" s="61"/>
      <c r="G20" s="37">
        <f>SUM(G16:G18)</f>
        <v>400000</v>
      </c>
    </row>
    <row r="21" spans="1:7" s="10" customFormat="1" ht="29.25" customHeight="1" x14ac:dyDescent="0.45">
      <c r="A21" s="24"/>
      <c r="B21" s="21" t="s">
        <v>28</v>
      </c>
      <c r="C21" s="81" t="s">
        <v>41</v>
      </c>
      <c r="D21" s="61"/>
      <c r="E21" s="73" t="s">
        <v>29</v>
      </c>
      <c r="F21" s="61"/>
      <c r="G21" s="37">
        <f>SUM(G19*1.05)-G19</f>
        <v>20000</v>
      </c>
    </row>
    <row r="22" spans="1:7" s="10" customFormat="1" ht="26.25" customHeight="1" x14ac:dyDescent="0.45">
      <c r="A22" s="24"/>
      <c r="B22" s="21"/>
      <c r="C22" s="81"/>
      <c r="D22" s="61"/>
      <c r="E22" s="73" t="s">
        <v>30</v>
      </c>
      <c r="F22" s="61"/>
      <c r="G22" s="37">
        <f>SUM(G20:G21)</f>
        <v>420000</v>
      </c>
    </row>
    <row r="23" spans="1:7" s="10" customFormat="1" ht="26.25" customHeight="1" x14ac:dyDescent="0.45">
      <c r="A23" s="3"/>
      <c r="B23" s="43" t="s">
        <v>31</v>
      </c>
      <c r="C23" s="62" t="s">
        <v>43</v>
      </c>
      <c r="D23" s="63"/>
      <c r="E23" s="63"/>
      <c r="F23" s="63"/>
      <c r="G23" s="63"/>
    </row>
    <row r="24" spans="1:7" s="10" customFormat="1" ht="31.5" customHeight="1" x14ac:dyDescent="0.6">
      <c r="A24" s="3"/>
      <c r="B24" s="4"/>
      <c r="C24" s="79"/>
      <c r="D24" s="57"/>
      <c r="E24" s="17"/>
      <c r="F24" s="17"/>
      <c r="G24" s="17"/>
    </row>
    <row r="25" spans="1:7" s="10" customFormat="1" ht="31.5" customHeight="1" x14ac:dyDescent="0.6">
      <c r="A25" s="3"/>
      <c r="B25" s="4"/>
      <c r="C25" s="80"/>
      <c r="D25" s="57"/>
      <c r="E25" s="57"/>
      <c r="F25" s="57"/>
      <c r="G25" s="57"/>
    </row>
    <row r="26" spans="1:7" s="10" customFormat="1" ht="31.5" customHeight="1" x14ac:dyDescent="0.6">
      <c r="A26" s="3"/>
      <c r="B26" s="4"/>
      <c r="C26" s="80"/>
      <c r="D26" s="57"/>
      <c r="E26" s="22"/>
      <c r="F26" s="22"/>
      <c r="G26" s="22"/>
    </row>
    <row r="27" spans="1:7" s="10" customFormat="1" ht="31.5" customHeight="1" x14ac:dyDescent="0.6">
      <c r="A27" s="3"/>
      <c r="B27" s="4"/>
      <c r="C27" s="56"/>
      <c r="D27" s="57"/>
    </row>
    <row r="28" spans="1:7" s="10" customFormat="1" ht="31.5" customHeight="1" x14ac:dyDescent="0.6">
      <c r="A28" s="3"/>
      <c r="B28" s="4"/>
      <c r="C28" s="56"/>
      <c r="D28" s="57"/>
      <c r="E28" s="57"/>
      <c r="F28" s="57"/>
      <c r="G28" s="57"/>
    </row>
    <row r="29" spans="1:7" s="10" customFormat="1" ht="31.5" customHeight="1" x14ac:dyDescent="0.6">
      <c r="A29" s="3"/>
      <c r="B29" s="4"/>
      <c r="C29" s="56"/>
      <c r="D29" s="57"/>
      <c r="E29" s="57"/>
      <c r="F29" s="57"/>
      <c r="G29" s="57"/>
    </row>
    <row r="30" spans="1:7" s="10" customFormat="1" ht="31.5" customHeight="1" x14ac:dyDescent="0.6">
      <c r="A30" s="3"/>
      <c r="B30" s="4"/>
      <c r="C30" s="74"/>
      <c r="D30" s="57"/>
      <c r="E30" s="57"/>
      <c r="F30" s="57"/>
      <c r="G30" s="57"/>
    </row>
    <row r="31" spans="1:7" s="10" customFormat="1" ht="31.5" customHeight="1" x14ac:dyDescent="0.6">
      <c r="A31" s="3"/>
      <c r="B31" s="4"/>
      <c r="C31" s="74"/>
      <c r="D31" s="57"/>
      <c r="E31" s="57"/>
      <c r="F31" s="57"/>
      <c r="G31" s="57"/>
    </row>
    <row r="32" spans="1:7" s="10" customFormat="1" ht="31.5" customHeight="1" x14ac:dyDescent="0.6">
      <c r="A32" s="3"/>
      <c r="B32" s="4"/>
      <c r="C32" s="74"/>
      <c r="D32" s="57"/>
      <c r="E32" s="57"/>
      <c r="F32" s="57"/>
      <c r="G32" s="57"/>
    </row>
    <row r="33" spans="1:7" s="2" customFormat="1" ht="27.75" customHeight="1" thickBot="1" x14ac:dyDescent="0.5">
      <c r="A33" s="12"/>
      <c r="B33" s="77" t="s">
        <v>32</v>
      </c>
      <c r="C33" s="78"/>
      <c r="D33" s="78"/>
    </row>
    <row r="34" spans="1:7" s="2" customFormat="1" ht="33" customHeight="1" x14ac:dyDescent="0.45">
      <c r="B34" s="75" t="s">
        <v>33</v>
      </c>
      <c r="C34" s="76"/>
      <c r="D34" s="76"/>
    </row>
    <row r="35" spans="1:7" s="2" customFormat="1" ht="33" customHeight="1" x14ac:dyDescent="0.6">
      <c r="B35" s="20"/>
      <c r="C35" s="14"/>
      <c r="D35" s="14"/>
    </row>
    <row r="36" spans="1:7" s="2" customFormat="1" ht="47.25" customHeight="1" x14ac:dyDescent="0.6">
      <c r="B36" s="71"/>
      <c r="C36" s="72"/>
      <c r="D36" s="72"/>
      <c r="E36" s="72"/>
      <c r="F36" s="72"/>
      <c r="G36" s="72"/>
    </row>
    <row r="37" spans="1:7" s="2" customFormat="1" ht="45" customHeight="1" x14ac:dyDescent="0.45"/>
    <row r="38" spans="1:7" s="2" customFormat="1" ht="20.149999999999999" customHeight="1" x14ac:dyDescent="0.45"/>
    <row r="39" spans="1:7" x14ac:dyDescent="0.4">
      <c r="D39" s="5"/>
      <c r="E39" s="5"/>
    </row>
    <row r="40" spans="1:7" x14ac:dyDescent="0.4">
      <c r="D40" s="5"/>
      <c r="E40" s="5"/>
    </row>
    <row r="41" spans="1:7" x14ac:dyDescent="0.4">
      <c r="D41" s="5"/>
      <c r="E41" s="5"/>
    </row>
    <row r="42" spans="1:7" x14ac:dyDescent="0.4">
      <c r="D42" s="5"/>
      <c r="E42" s="5"/>
    </row>
    <row r="43" spans="1:7" x14ac:dyDescent="0.4">
      <c r="D43" s="5"/>
      <c r="E43" s="5"/>
    </row>
    <row r="44" spans="1:7" x14ac:dyDescent="0.4">
      <c r="D44" s="5"/>
      <c r="E44" s="5"/>
    </row>
    <row r="45" spans="1:7" x14ac:dyDescent="0.4">
      <c r="D45" s="5"/>
      <c r="E45" s="5"/>
    </row>
    <row r="46" spans="1:7" x14ac:dyDescent="0.4">
      <c r="D46" s="5"/>
      <c r="E46" s="5"/>
    </row>
    <row r="47" spans="1:7" x14ac:dyDescent="0.4">
      <c r="D47" s="5"/>
      <c r="E47" s="5"/>
    </row>
    <row r="48" spans="1:7" x14ac:dyDescent="0.4">
      <c r="D48" s="5"/>
      <c r="E48" s="5"/>
    </row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  <row r="447" s="5" customFormat="1" x14ac:dyDescent="0.4"/>
    <row r="448" s="5" customFormat="1" x14ac:dyDescent="0.4"/>
    <row r="449" s="5" customFormat="1" x14ac:dyDescent="0.4"/>
    <row r="450" s="5" customFormat="1" x14ac:dyDescent="0.4"/>
  </sheetData>
  <mergeCells count="36">
    <mergeCell ref="E19:F19"/>
    <mergeCell ref="F10:G10"/>
    <mergeCell ref="C15:D15"/>
    <mergeCell ref="C28:G28"/>
    <mergeCell ref="C21:D21"/>
    <mergeCell ref="C17:D17"/>
    <mergeCell ref="C18:D18"/>
    <mergeCell ref="B36:G36"/>
    <mergeCell ref="E22:F22"/>
    <mergeCell ref="C31:G31"/>
    <mergeCell ref="E21:F21"/>
    <mergeCell ref="C32:G32"/>
    <mergeCell ref="B34:D34"/>
    <mergeCell ref="B33:D33"/>
    <mergeCell ref="C30:G30"/>
    <mergeCell ref="C24:D24"/>
    <mergeCell ref="C26:D26"/>
    <mergeCell ref="C22:D22"/>
    <mergeCell ref="C25:G25"/>
    <mergeCell ref="C29:G29"/>
    <mergeCell ref="F9:G9"/>
    <mergeCell ref="C8:D8"/>
    <mergeCell ref="C4:D5"/>
    <mergeCell ref="C27:D27"/>
    <mergeCell ref="C7:D7"/>
    <mergeCell ref="E20:F20"/>
    <mergeCell ref="C23:G23"/>
    <mergeCell ref="F7:G7"/>
    <mergeCell ref="C10:D10"/>
    <mergeCell ref="C16:D16"/>
    <mergeCell ref="C20:D20"/>
    <mergeCell ref="C9:D9"/>
    <mergeCell ref="F8:G8"/>
    <mergeCell ref="C12:D12"/>
    <mergeCell ref="C11:D11"/>
    <mergeCell ref="C19:D19"/>
  </mergeCells>
  <phoneticPr fontId="1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Lin</cp:lastModifiedBy>
  <cp:lastPrinted>2014-12-04T07:48:54Z</cp:lastPrinted>
  <dcterms:created xsi:type="dcterms:W3CDTF">1999-12-09T02:36:51Z</dcterms:created>
  <dcterms:modified xsi:type="dcterms:W3CDTF">2024-02-05T09:57:22Z</dcterms:modified>
</cp:coreProperties>
</file>