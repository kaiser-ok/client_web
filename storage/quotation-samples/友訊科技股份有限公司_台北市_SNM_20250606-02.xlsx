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智慧網管\"/>
    </mc:Choice>
  </mc:AlternateContent>
  <xr:revisionPtr revIDLastSave="0" documentId="8_{D7569662-7283-45D5-8FDC-929DA5811C76}" xr6:coauthVersionLast="47" xr6:coauthVersionMax="47" xr10:uidLastSave="{00000000-0000-0000-0000-000000000000}"/>
  <bookViews>
    <workbookView xWindow="45255" yWindow="1710" windowWidth="23085" windowHeight="17715" tabRatio="458" xr2:uid="{00000000-000D-0000-FFFF-FFFF00000000}"/>
  </bookViews>
  <sheets>
    <sheet name="給友訊" sheetId="9" r:id="rId1"/>
  </sheets>
  <calcPr calcId="191029"/>
</workbook>
</file>

<file path=xl/calcChain.xml><?xml version="1.0" encoding="utf-8"?>
<calcChain xmlns="http://schemas.openxmlformats.org/spreadsheetml/2006/main">
  <c r="G19" i="9" l="1"/>
  <c r="G18" i="9"/>
  <c r="G17" i="9"/>
  <c r="G16" i="9"/>
  <c r="G20" i="9" l="1"/>
  <c r="G21" i="9" s="1"/>
  <c r="G22" i="9" s="1"/>
</calcChain>
</file>

<file path=xl/sharedStrings.xml><?xml version="1.0" encoding="utf-8"?>
<sst xmlns="http://schemas.openxmlformats.org/spreadsheetml/2006/main" count="61" uniqueCount="57">
  <si>
    <t>數量</t>
  </si>
  <si>
    <t>項次</t>
    <phoneticPr fontId="3" type="noConversion"/>
  </si>
  <si>
    <t xml:space="preserve">  </t>
    <phoneticPr fontId="3" type="noConversion"/>
  </si>
  <si>
    <t>規格</t>
    <phoneticPr fontId="2" type="noConversion"/>
  </si>
  <si>
    <t>Remark   :</t>
    <phoneticPr fontId="2" type="noConversion"/>
  </si>
  <si>
    <t>本報價單於取得客戶之同意簽章後，視為正式訂單即刻生效。</t>
    <phoneticPr fontId="19" type="noConversion"/>
  </si>
  <si>
    <t>註：</t>
    <phoneticPr fontId="19" type="noConversion"/>
  </si>
  <si>
    <t>保固條件：</t>
    <phoneticPr fontId="3" type="noConversion"/>
  </si>
  <si>
    <t>Signature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</si>
  <si>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</si>
  <si>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</si>
  <si>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</si>
  <si>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</si>
  <si>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</si>
  <si>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</si>
  <si>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t>E-Mail  :</t>
    <phoneticPr fontId="3" type="noConversion"/>
  </si>
  <si>
    <r>
      <rPr>
        <b/>
        <sz val="20"/>
        <rFont val="新細明體"/>
        <family val="1"/>
        <charset val="136"/>
      </rPr>
      <t>報價日期：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</si>
  <si>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Calibri"/>
        <family val="2"/>
      </rPr>
      <t xml:space="preserve">  :  </t>
    </r>
    <phoneticPr fontId="2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</si>
  <si>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 :  </t>
    </r>
    <phoneticPr fontId="3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</si>
  <si>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 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</si>
  <si>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</si>
  <si>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</si>
  <si>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</si>
  <si>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傳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</si>
  <si>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rPr>
        <b/>
        <sz val="24"/>
        <rFont val="新細明體"/>
        <family val="1"/>
        <charset val="136"/>
      </rPr>
      <t>貴公司所詢問之產品</t>
    </r>
    <r>
      <rPr>
        <b/>
        <sz val="24"/>
        <rFont val="Calibri"/>
        <family val="2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Calibri"/>
        <family val="2"/>
      </rPr>
      <t>:</t>
    </r>
    <phoneticPr fontId="3" type="noConversion"/>
  </si>
  <si>
    <r>
      <rPr>
        <b/>
        <sz val="20"/>
        <rFont val="細明體"/>
        <family val="3"/>
      </rPr>
      <t>單位：新台幣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</si>
  <si>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t>含稅金額：</t>
    <phoneticPr fontId="3" type="noConversion"/>
  </si>
  <si>
    <t>SUB TOTAL：</t>
    <phoneticPr fontId="3" type="noConversion"/>
  </si>
  <si>
    <r>
      <rPr>
        <b/>
        <sz val="20"/>
        <rFont val="新細明體"/>
        <family val="2"/>
        <charset val="136"/>
      </rPr>
      <t>專案</t>
    </r>
    <r>
      <rPr>
        <b/>
        <sz val="20"/>
        <rFont val="Calibri"/>
        <family val="2"/>
      </rPr>
      <t xml:space="preserve">  :</t>
    </r>
    <phoneticPr fontId="3" type="noConversion"/>
  </si>
  <si>
    <t>顯赫資訊股份有限公司</t>
    <phoneticPr fontId="2" type="noConversion"/>
  </si>
  <si>
    <t>統一編號：80426746</t>
    <phoneticPr fontId="3" type="noConversion"/>
  </si>
  <si>
    <t>1.報價單有效期限為 即日起30日內(含假日)有效。</t>
    <phoneticPr fontId="2" type="noConversion"/>
  </si>
  <si>
    <t>2</t>
    <phoneticPr fontId="3" type="noConversion"/>
  </si>
  <si>
    <t>3</t>
    <phoneticPr fontId="3" type="noConversion"/>
  </si>
  <si>
    <t>友訊科技股份有限公司</t>
    <phoneticPr fontId="3" type="noConversion"/>
  </si>
  <si>
    <t>1</t>
    <phoneticPr fontId="3" type="noConversion"/>
  </si>
  <si>
    <t>項次 280</t>
    <phoneticPr fontId="3" type="noConversion"/>
  </si>
  <si>
    <t>金額</t>
    <phoneticPr fontId="3" type="noConversion"/>
  </si>
  <si>
    <t>台北市政府教育局 - Siraya 智慧網管 - 軟體標供契採購</t>
    <phoneticPr fontId="3" type="noConversion"/>
  </si>
  <si>
    <t>驗收完成後，收到款項即付款 (back to back)</t>
  </si>
  <si>
    <t>地址：新北市中和區建一路166號13樓之3</t>
    <phoneticPr fontId="3" type="noConversion"/>
  </si>
  <si>
    <t>5%營業稅：</t>
    <phoneticPr fontId="3" type="noConversion"/>
  </si>
  <si>
    <t>二年保固</t>
    <phoneticPr fontId="3" type="noConversion"/>
  </si>
  <si>
    <t>4</t>
    <phoneticPr fontId="3" type="noConversion"/>
  </si>
  <si>
    <t>項次 295</t>
    <phoneticPr fontId="3" type="noConversion"/>
  </si>
  <si>
    <t>項次 296</t>
    <phoneticPr fontId="3" type="noConversion"/>
  </si>
  <si>
    <t>項次 301</t>
    <phoneticPr fontId="3" type="noConversion"/>
  </si>
  <si>
    <t>Siraya
Radar-LIC 網管偵測點擴充授權</t>
    <phoneticPr fontId="3" type="noConversion"/>
  </si>
  <si>
    <t>Siraya 
SNM1000 BASE - 1YLIC</t>
    <phoneticPr fontId="3" type="noConversion"/>
  </si>
  <si>
    <t>Siraya 
Siraya SNM1000-DB - 1YLIC</t>
    <phoneticPr fontId="3" type="noConversion"/>
  </si>
  <si>
    <t>Siraya 
SNM1000-RADAR-LIC Radar 管理授權</t>
    <phoneticPr fontId="3" type="noConversion"/>
  </si>
  <si>
    <t>2.報價為項次 280、295、296、301一式報價。</t>
    <phoneticPr fontId="3" type="noConversion"/>
  </si>
  <si>
    <t>梁嘉發 先生</t>
    <phoneticPr fontId="3" type="noConversion"/>
  </si>
  <si>
    <t>(02) 6600-0123 # 8625</t>
    <phoneticPr fontId="3" type="noConversion"/>
  </si>
  <si>
    <t>0922-753-723</t>
    <phoneticPr fontId="3" type="noConversion"/>
  </si>
  <si>
    <t>alpha.liang@tw.dlink.com</t>
    <phoneticPr fontId="3" type="noConversion"/>
  </si>
  <si>
    <t>20250606-02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</si>
</sst>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39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sz val="22"/>
      <name val="新細明體"/>
      <family val="1"/>
      <charset val="136"/>
    </font>
    <font>
      <b/>
      <sz val="25"/>
      <name val="微軟正黑體"/>
      <family val="2"/>
      <charset val="136"/>
    </font>
    <font>
      <b/>
      <sz val="20"/>
      <name val="新細明體"/>
      <family val="2"/>
      <charset val="136"/>
    </font>
    <font>
      <b/>
      <sz val="20"/>
      <name val="Calibri"/>
      <family val="2"/>
      <charset val="136"/>
    </font>
    <font>
      <sz val="16"/>
      <name val="細明體"/>
      <family val="3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6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1" xfId="0" applyFont="1" applyBorder="1"/>
    <xf numFmtId="14" fontId="9" fillId="0" borderId="2" xfId="0" applyNumberFormat="1" applyFont="1" applyBorder="1"/>
    <xf numFmtId="14" fontId="9" fillId="0" borderId="0" xfId="0" applyNumberFormat="1" applyFont="1"/>
    <xf numFmtId="0" fontId="9" fillId="0" borderId="0" xfId="0" applyFont="1"/>
    <xf numFmtId="0" fontId="12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8" fillId="2" borderId="3" xfId="0" applyFont="1" applyFill="1" applyBorder="1" applyAlignment="1">
      <alignment horizontal="center"/>
    </xf>
    <xf numFmtId="176" fontId="8" fillId="2" borderId="3" xfId="1" applyNumberFormat="1" applyFont="1" applyFill="1" applyBorder="1" applyAlignment="1">
      <alignment horizontal="left"/>
    </xf>
    <xf numFmtId="0" fontId="16" fillId="0" borderId="0" xfId="0" applyFont="1" applyAlignment="1">
      <alignment wrapText="1"/>
    </xf>
    <xf numFmtId="0" fontId="20" fillId="0" borderId="3" xfId="0" applyFont="1" applyBorder="1" applyAlignment="1">
      <alignment horizontal="right" vertical="center"/>
    </xf>
    <xf numFmtId="0" fontId="14" fillId="0" borderId="0" xfId="0" applyFont="1" applyAlignment="1">
      <alignment horizontal="left"/>
    </xf>
    <xf numFmtId="177" fontId="20" fillId="0" borderId="3" xfId="1" applyNumberFormat="1" applyFont="1" applyFill="1" applyBorder="1" applyAlignment="1">
      <alignment horizontal="right" vertical="center"/>
    </xf>
    <xf numFmtId="49" fontId="20" fillId="0" borderId="3" xfId="0" applyNumberFormat="1" applyFont="1" applyBorder="1" applyAlignment="1">
      <alignment horizontal="center"/>
    </xf>
    <xf numFmtId="0" fontId="24" fillId="0" borderId="0" xfId="0" applyFont="1" applyAlignment="1">
      <alignment horizontal="right"/>
    </xf>
    <xf numFmtId="0" fontId="26" fillId="0" borderId="0" xfId="0" applyFont="1" applyAlignment="1">
      <alignment horizontal="right" wrapText="1"/>
    </xf>
    <xf numFmtId="0" fontId="26" fillId="0" borderId="0" xfId="0" applyFont="1" applyAlignment="1">
      <alignment horizontal="right"/>
    </xf>
    <xf numFmtId="0" fontId="27" fillId="0" borderId="0" xfId="0" applyFont="1" applyAlignment="1">
      <alignment wrapText="1"/>
    </xf>
    <xf numFmtId="58" fontId="26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Alignment="1">
      <alignment horizontal="left" wrapText="1"/>
    </xf>
    <xf numFmtId="176" fontId="21" fillId="0" borderId="3" xfId="1" applyNumberFormat="1" applyFont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29" fillId="0" borderId="0" xfId="0" applyFont="1" applyAlignment="1">
      <alignment wrapText="1"/>
    </xf>
    <xf numFmtId="49" fontId="26" fillId="0" borderId="0" xfId="0" applyNumberFormat="1" applyFont="1" applyAlignment="1">
      <alignment horizontal="left"/>
    </xf>
    <xf numFmtId="0" fontId="35" fillId="0" borderId="0" xfId="0" applyFont="1"/>
    <xf numFmtId="49" fontId="27" fillId="0" borderId="0" xfId="0" applyNumberFormat="1" applyFont="1"/>
    <xf numFmtId="49" fontId="20" fillId="0" borderId="3" xfId="0" applyNumberFormat="1" applyFont="1" applyBorder="1" applyAlignment="1">
      <alignment horizontal="center" vertical="center" wrapText="1"/>
    </xf>
    <xf numFmtId="177" fontId="20" fillId="0" borderId="3" xfId="0" applyNumberFormat="1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20" fillId="0" borderId="0" xfId="0" applyFont="1"/>
    <xf numFmtId="49" fontId="20" fillId="0" borderId="3" xfId="10" applyNumberFormat="1" applyFont="1" applyFill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right" vertical="center"/>
    </xf>
    <xf numFmtId="49" fontId="25" fillId="0" borderId="0" xfId="16" applyNumberFormat="1" applyFont="1" applyFill="1" applyBorder="1" applyAlignment="1">
      <alignment horizontal="left" wrapText="1"/>
    </xf>
    <xf numFmtId="177" fontId="20" fillId="0" borderId="0" xfId="0" applyNumberFormat="1" applyFont="1" applyAlignment="1">
      <alignment horizontal="right" vertical="center"/>
    </xf>
    <xf numFmtId="177" fontId="20" fillId="0" borderId="6" xfId="1" applyNumberFormat="1" applyFont="1" applyFill="1" applyBorder="1" applyAlignment="1">
      <alignment horizontal="right" vertical="center"/>
    </xf>
    <xf numFmtId="177" fontId="20" fillId="0" borderId="6" xfId="1" applyNumberFormat="1" applyFont="1" applyFill="1" applyBorder="1" applyAlignment="1">
      <alignment horizontal="right" vertical="center" wrapText="1"/>
    </xf>
    <xf numFmtId="0" fontId="2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9" fillId="0" borderId="0" xfId="0" applyFont="1"/>
    <xf numFmtId="0" fontId="24" fillId="0" borderId="0" xfId="0" applyFont="1" applyAlignment="1">
      <alignment wrapText="1"/>
    </xf>
    <xf numFmtId="0" fontId="10" fillId="0" borderId="0" xfId="0" applyFont="1"/>
    <xf numFmtId="0" fontId="23" fillId="0" borderId="0" xfId="0" applyFont="1"/>
    <xf numFmtId="0" fontId="0" fillId="0" borderId="0" xfId="0"/>
    <xf numFmtId="0" fontId="27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0" xfId="0" applyFont="1"/>
    <xf numFmtId="0" fontId="25" fillId="0" borderId="0" xfId="0" applyFont="1"/>
    <xf numFmtId="0" fontId="31" fillId="0" borderId="0" xfId="2" applyFont="1" applyAlignment="1" applyProtection="1">
      <alignment wrapText="1"/>
    </xf>
    <xf numFmtId="0" fontId="34" fillId="0" borderId="0" xfId="0" applyFont="1" applyAlignment="1">
      <alignment wrapText="1"/>
    </xf>
    <xf numFmtId="176" fontId="8" fillId="2" borderId="3" xfId="1" applyNumberFormat="1" applyFont="1" applyFill="1" applyBorder="1" applyAlignment="1">
      <alignment horizontal="left" wrapText="1"/>
    </xf>
    <xf numFmtId="0" fontId="0" fillId="0" borderId="6" xfId="0" applyBorder="1"/>
    <xf numFmtId="49" fontId="20" fillId="0" borderId="3" xfId="1" applyNumberFormat="1" applyFont="1" applyFill="1" applyBorder="1" applyAlignment="1">
      <alignment horizontal="left" vertical="center" wrapText="1"/>
    </xf>
    <xf numFmtId="177" fontId="22" fillId="0" borderId="3" xfId="1" applyNumberFormat="1" applyFont="1" applyFill="1" applyBorder="1" applyAlignment="1">
      <alignment horizontal="right" wrapText="1"/>
    </xf>
    <xf numFmtId="177" fontId="20" fillId="0" borderId="3" xfId="0" applyNumberFormat="1" applyFont="1" applyBorder="1"/>
    <xf numFmtId="49" fontId="38" fillId="0" borderId="3" xfId="1" applyNumberFormat="1" applyFont="1" applyFill="1" applyBorder="1" applyAlignment="1">
      <alignment horizontal="left" wrapText="1"/>
    </xf>
    <xf numFmtId="0" fontId="0" fillId="0" borderId="3" xfId="0" applyBorder="1"/>
    <xf numFmtId="177" fontId="20" fillId="0" borderId="3" xfId="0" applyNumberFormat="1" applyFont="1" applyBorder="1" applyAlignment="1">
      <alignment horizontal="right" vertical="center"/>
    </xf>
    <xf numFmtId="49" fontId="25" fillId="0" borderId="3" xfId="16" applyNumberFormat="1" applyFont="1" applyFill="1" applyBorder="1" applyAlignment="1">
      <alignment horizontal="left" wrapText="1"/>
    </xf>
    <xf numFmtId="0" fontId="14" fillId="0" borderId="0" xfId="0" applyFont="1"/>
    <xf numFmtId="0" fontId="18" fillId="0" borderId="5" xfId="0" applyFont="1" applyBorder="1" applyAlignment="1">
      <alignment horizontal="left"/>
    </xf>
    <xf numFmtId="0" fontId="20" fillId="0" borderId="4" xfId="0" applyFont="1" applyBorder="1" applyAlignment="1">
      <alignment horizontal="justify"/>
    </xf>
    <xf numFmtId="0" fontId="16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31" fillId="0" borderId="0" xfId="2" applyFont="1" applyAlignment="1" applyProtection="1"/>
    <xf numFmtId="0" fontId="34" fillId="0" borderId="0" xfId="0" applyFont="1"/>
  </cellXfs>
  <cellStyles count="30">
    <cellStyle name="一般" xfId="0" builtinId="0"/>
    <cellStyle name="千分位" xfId="1" builtinId="3"/>
    <cellStyle name="千分位 2" xfId="4" xr:uid="{1CC59868-FFB7-4BDA-BC38-34A0B68F1E2A}"/>
    <cellStyle name="千分位 2 2" xfId="6" xr:uid="{F6315B9C-C552-4C6E-B53E-06CB558E2269}"/>
    <cellStyle name="千分位 2 2 2" xfId="15" xr:uid="{B456A579-F428-4536-AE10-9408BF6EAB8F}"/>
    <cellStyle name="千分位 2 2 2 2" xfId="29" xr:uid="{7E291246-3545-4BA0-82FD-3D326D37FC40}"/>
    <cellStyle name="千分位 2 2 3" xfId="20" xr:uid="{4B2D352A-A5AF-49CF-A51F-7A1FC23086F6}"/>
    <cellStyle name="千分位 2 3" xfId="13" xr:uid="{64FE3F01-2C26-4767-9848-963FDC2D6E08}"/>
    <cellStyle name="千分位 2 3 2" xfId="27" xr:uid="{3CB345E8-EC5A-4F4E-814A-8B5A23996C8B}"/>
    <cellStyle name="千分位 2 4" xfId="10" xr:uid="{DB7CE5E5-86F0-48CF-8BD2-0B871E08572A}"/>
    <cellStyle name="千分位 2 4 2" xfId="24" xr:uid="{8FDBEA73-3FBD-45F2-B853-BBAF88E2EA68}"/>
    <cellStyle name="千分位 2 5" xfId="18" xr:uid="{AB1EA853-4198-4B3B-8208-35CB6B352C30}"/>
    <cellStyle name="千分位 3" xfId="5" xr:uid="{4425627E-B0CF-49F0-9223-470131CAA925}"/>
    <cellStyle name="千分位 3 2" xfId="14" xr:uid="{B5B033AA-BB94-4BD2-95E0-D2F7219CE778}"/>
    <cellStyle name="千分位 3 2 2" xfId="28" xr:uid="{09EF5E50-1692-454E-9D12-550BEC4135F1}"/>
    <cellStyle name="千分位 3 3" xfId="11" xr:uid="{5F154EB6-CAC1-4016-9565-9DB3B5E763BA}"/>
    <cellStyle name="千分位 3 3 2" xfId="25" xr:uid="{39DAD407-E66D-4C11-965D-ACE3DF697E34}"/>
    <cellStyle name="千分位 3 4" xfId="19" xr:uid="{86DCE440-8483-4225-8280-50359F5B5B76}"/>
    <cellStyle name="千分位 4" xfId="12" xr:uid="{D73BD6DC-84C9-4CB6-BF9F-EDE1ADD05A2E}"/>
    <cellStyle name="千分位 4 2" xfId="26" xr:uid="{30C93D14-23C3-4573-BDEE-39727406454E}"/>
    <cellStyle name="千分位 5" xfId="9" xr:uid="{3ACE1AE6-9E0F-4FC4-987E-C672148F08E8}"/>
    <cellStyle name="千分位 5 2" xfId="23" xr:uid="{FA69B38C-BFFF-4603-87F4-02ACEF205E11}"/>
    <cellStyle name="千分位 6" xfId="8" xr:uid="{53B78FBF-40F1-429D-A4B9-1F179F1B3B46}"/>
    <cellStyle name="千分位 6 2" xfId="22" xr:uid="{43B106A2-3C97-4D74-8EBB-D7DB47A324A2}"/>
    <cellStyle name="千分位 7" xfId="7" xr:uid="{456C1B6D-F207-4EC5-8CC9-8DDA40B55CAB}"/>
    <cellStyle name="千分位 7 2" xfId="21" xr:uid="{93A08D25-3AFD-4AB6-B627-897FDD3C32CF}"/>
    <cellStyle name="千分位 8" xfId="3" xr:uid="{1FCD778E-923A-46A6-80CF-661BE91A4691}"/>
    <cellStyle name="千分位 8 2" xfId="17" xr:uid="{3728CDA2-E424-4346-9C6B-2D18D3EA257D}"/>
    <cellStyle name="千分位 9" xfId="16" xr:uid="{3EB2FACD-5DAB-4F46-9C7B-D149916C44DB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587F86F-7530-43F4-A310-C0193768CACA}"/>
            </a:ext>
          </a:extLst>
        </xdr:cNvPr>
        <xdr:cNvSpPr txBox="1">
          <a:spLocks noChangeArrowheads="1"/>
        </xdr:cNvSpPr>
      </xdr:nvSpPr>
      <xdr:spPr bwMode="auto">
        <a:xfrm>
          <a:off x="4171950" y="752475"/>
          <a:ext cx="1809750" cy="790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C97E865-E204-4C60-9825-F2B7ECE343E8}"/>
            </a:ext>
          </a:extLst>
        </xdr:cNvPr>
        <xdr:cNvSpPr txBox="1">
          <a:spLocks noChangeArrowheads="1"/>
        </xdr:cNvSpPr>
      </xdr:nvSpPr>
      <xdr:spPr bwMode="auto">
        <a:xfrm>
          <a:off x="2882900" y="444500"/>
          <a:ext cx="3603625" cy="1136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pha.liang@tw.dli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3EF9-5B69-4C45-BB5E-775BBC3E0F75}">
  <dimension ref="A3:M450"/>
  <sheetViews>
    <sheetView tabSelected="1" view="pageBreakPreview" zoomScale="60" zoomScaleNormal="70" workbookViewId="0">
      <selection activeCell="G12" sqref="G12"/>
    </sheetView>
  </sheetViews>
  <sheetFormatPr defaultColWidth="9" defaultRowHeight="17" x14ac:dyDescent="0.4"/>
  <cols>
    <col min="1" max="1" width="7.36328125" style="5" customWidth="1"/>
    <col min="2" max="2" width="33.26953125" style="5" customWidth="1"/>
    <col min="3" max="3" width="13.6328125" style="5" customWidth="1"/>
    <col min="4" max="4" width="44.26953125" style="15" customWidth="1"/>
    <col min="5" max="5" width="20.90625" style="15" customWidth="1"/>
    <col min="6" max="6" width="20.26953125" style="5" customWidth="1"/>
    <col min="7" max="7" width="22" style="5" customWidth="1"/>
    <col min="8" max="16384" width="9" style="5"/>
  </cols>
  <sheetData>
    <row r="3" spans="1:13" ht="21.5" x14ac:dyDescent="0.45">
      <c r="A3" s="2"/>
      <c r="B3" s="1"/>
      <c r="C3" s="1"/>
      <c r="D3" s="11"/>
      <c r="E3" s="11"/>
      <c r="F3" s="1"/>
      <c r="G3" s="1"/>
    </row>
    <row r="4" spans="1:13" s="5" customFormat="1" ht="43.5" ph="1" x14ac:dyDescent="0.75">
      <c r="A4" s="17" t="s" ph="1">
        <v>2</v>
      </c>
      <c r="B4" s="1" ph="1"/>
      <c r="C4" s="1" ph="1"/>
      <c r="D4" s="11" ph="1"/>
      <c r="E4" s="41" t="s">
        <v>29</v>
      </c>
      <c r="F4" s="32" ph="1"/>
      <c r="G4" s="31" ph="1"/>
    </row>
    <row r="5" spans="1:13" ht="22" x14ac:dyDescent="0.5">
      <c r="A5" s="2"/>
      <c r="B5" s="1"/>
      <c r="C5" s="1"/>
      <c r="D5" s="11"/>
      <c r="E5" s="46" t="s">
        <v>30</v>
      </c>
      <c r="F5" s="32"/>
      <c r="G5" s="33"/>
    </row>
    <row r="6" spans="1:13" ht="22.5" thickBot="1" x14ac:dyDescent="0.55000000000000004">
      <c r="A6" s="2"/>
      <c r="B6" s="6"/>
      <c r="C6" s="6"/>
      <c r="D6" s="13"/>
      <c r="E6" s="1" t="s">
        <v>40</v>
      </c>
      <c r="F6" s="32"/>
      <c r="G6" s="33"/>
    </row>
    <row r="7" spans="1:13" s="4" customFormat="1" ht="33" customHeight="1" thickTop="1" ph="1" x14ac:dyDescent="0.6">
      <c r="A7" s="7" ph="1"/>
      <c r="B7" s="29" t="s" ph="1">
        <v>17</v>
      </c>
      <c r="C7" s="54" t="s">
        <v>34</v>
      </c>
      <c r="D7" s="55"/>
      <c r="E7" s="26" t="s" ph="1">
        <v>16</v>
      </c>
      <c r="F7" s="56" t="s" ph="1">
        <v>56</v>
      </c>
      <c r="G7" s="56" ph="1"/>
    </row>
    <row r="8" spans="1:13" s="4" customFormat="1" ht="33" customHeight="1" ph="1" x14ac:dyDescent="0.6">
      <c r="A8" s="8" ph="1"/>
      <c r="B8" s="27" t="s" ph="1">
        <v>18</v>
      </c>
      <c r="C8" s="57" t="s">
        <v>52</v>
      </c>
      <c r="D8" s="58"/>
      <c r="E8" s="34" t="s" ph="1">
        <v>21</v>
      </c>
      <c r="F8" s="59" t="s">
        <v>14</v>
      </c>
      <c r="G8" s="60"/>
    </row>
    <row r="9" spans="1:13" s="4" customFormat="1" ht="33" customHeight="1" x14ac:dyDescent="0.6">
      <c r="A9" s="9"/>
      <c r="B9" s="27" t="s">
        <v>19</v>
      </c>
      <c r="C9" s="61" t="s">
        <v>54</v>
      </c>
      <c r="D9" s="62"/>
      <c r="E9" s="35" t="s">
        <v>22</v>
      </c>
      <c r="F9" s="63" t="s">
        <v>12</v>
      </c>
      <c r="G9" s="63"/>
    </row>
    <row r="10" spans="1:13" s="4" customFormat="1" ht="33" customHeight="1" x14ac:dyDescent="0.6">
      <c r="A10" s="9"/>
      <c r="B10" s="27" t="s">
        <v>20</v>
      </c>
      <c r="C10" s="42" t="s">
        <v>53</v>
      </c>
      <c r="D10" s="28"/>
      <c r="E10" s="35" t="s">
        <v>23</v>
      </c>
      <c r="F10" s="63" t="s">
        <v>13</v>
      </c>
      <c r="G10" s="63"/>
    </row>
    <row r="11" spans="1:13" s="4" customFormat="1" ht="33" customHeight="1" x14ac:dyDescent="0.7">
      <c r="A11" s="9"/>
      <c r="B11" s="30" t="s">
        <v>15</v>
      </c>
      <c r="C11" s="81" t="s">
        <v>55</v>
      </c>
      <c r="D11" s="82"/>
      <c r="E11" s="28"/>
    </row>
    <row r="12" spans="1:13" s="4" customFormat="1" ht="33" customHeight="1" ph="1" x14ac:dyDescent="0.7">
      <c r="A12" s="9" ph="1"/>
      <c r="B12" s="30"/>
      <c r="C12" s="65" ph="1"/>
      <c r="D12" s="66"/>
      <c r="E12" s="14" ph="1"/>
      <c r="F12" s="9" ph="1"/>
      <c r="G12" s="9" ph="1"/>
    </row>
    <row r="13" spans="1:13" s="4" customFormat="1" ht="27.5" x14ac:dyDescent="0.6">
      <c r="A13" s="9"/>
      <c r="B13" s="45" t="s">
        <v>28</v>
      </c>
      <c r="C13" s="46" t="s">
        <v>38</v>
      </c>
      <c r="D13" s="11"/>
      <c r="E13" s="14"/>
      <c r="F13" s="9"/>
      <c r="G13" s="16"/>
      <c r="M13" s="14"/>
    </row>
    <row r="14" spans="1:13" s="32" customFormat="1" ht="33.5" x14ac:dyDescent="0.75">
      <c r="A14" s="37" t="s">
        <v>24</v>
      </c>
      <c r="B14" s="38"/>
      <c r="C14" s="38"/>
      <c r="D14" s="39"/>
      <c r="E14" s="39"/>
      <c r="F14" s="40" t="s">
        <v>25</v>
      </c>
    </row>
    <row r="15" spans="1:13" s="4" customFormat="1" ht="39.75" customHeight="1" x14ac:dyDescent="0.6">
      <c r="A15" s="18" t="s">
        <v>1</v>
      </c>
      <c r="B15" s="19" t="s">
        <v>11</v>
      </c>
      <c r="C15" s="67" t="s">
        <v>3</v>
      </c>
      <c r="D15" s="68"/>
      <c r="E15" s="19" t="s">
        <v>0</v>
      </c>
      <c r="F15" s="19" t="s">
        <v>37</v>
      </c>
      <c r="G15" s="19" t="s">
        <v>10</v>
      </c>
    </row>
    <row r="16" spans="1:13" ht="70" customHeight="1" x14ac:dyDescent="0.4">
      <c r="A16" s="43" t="s">
        <v>35</v>
      </c>
      <c r="B16" s="43" t="s">
        <v>47</v>
      </c>
      <c r="C16" s="47" t="s">
        <v>36</v>
      </c>
      <c r="D16" s="43" t="s">
        <v>47</v>
      </c>
      <c r="E16" s="23">
        <v>236</v>
      </c>
      <c r="F16" s="52">
        <v>1610</v>
      </c>
      <c r="G16" s="53">
        <f>E16*F16</f>
        <v>379960</v>
      </c>
    </row>
    <row r="17" spans="1:7" ht="70" customHeight="1" x14ac:dyDescent="0.4">
      <c r="A17" s="43" t="s">
        <v>32</v>
      </c>
      <c r="B17" s="43" t="s">
        <v>48</v>
      </c>
      <c r="C17" s="47" t="s">
        <v>44</v>
      </c>
      <c r="D17" s="43" t="s">
        <v>48</v>
      </c>
      <c r="E17" s="23">
        <v>6</v>
      </c>
      <c r="F17" s="52">
        <v>228218</v>
      </c>
      <c r="G17" s="53">
        <f>E17*F17</f>
        <v>1369308</v>
      </c>
    </row>
    <row r="18" spans="1:7" ht="70" customHeight="1" x14ac:dyDescent="0.4">
      <c r="A18" s="43" t="s">
        <v>33</v>
      </c>
      <c r="B18" s="43" t="s">
        <v>49</v>
      </c>
      <c r="C18" s="47" t="s">
        <v>45</v>
      </c>
      <c r="D18" s="43" t="s">
        <v>49</v>
      </c>
      <c r="E18" s="23">
        <v>6</v>
      </c>
      <c r="F18" s="52">
        <v>45359</v>
      </c>
      <c r="G18" s="53">
        <f>E18*F18</f>
        <v>272154</v>
      </c>
    </row>
    <row r="19" spans="1:7" ht="70" customHeight="1" x14ac:dyDescent="0.4">
      <c r="A19" s="43" t="s">
        <v>43</v>
      </c>
      <c r="B19" s="43" t="s">
        <v>50</v>
      </c>
      <c r="C19" s="47" t="s">
        <v>46</v>
      </c>
      <c r="D19" s="43" t="s">
        <v>50</v>
      </c>
      <c r="E19" s="23">
        <v>472</v>
      </c>
      <c r="F19" s="52">
        <v>11052</v>
      </c>
      <c r="G19" s="53">
        <f>E19*F19</f>
        <v>5216544</v>
      </c>
    </row>
    <row r="20" spans="1:7" ht="27.75" customHeight="1" x14ac:dyDescent="0.45">
      <c r="A20" s="24"/>
      <c r="B20" s="36"/>
      <c r="C20" s="69"/>
      <c r="D20" s="69"/>
      <c r="E20" s="70" t="s">
        <v>27</v>
      </c>
      <c r="F20" s="71"/>
      <c r="G20" s="44">
        <f>SUM(G16:G19)</f>
        <v>7237966</v>
      </c>
    </row>
    <row r="21" spans="1:7" s="10" customFormat="1" ht="29.25" customHeight="1" x14ac:dyDescent="0.45">
      <c r="A21" s="21" t="s">
        <v>6</v>
      </c>
      <c r="B21" s="21" t="s">
        <v>7</v>
      </c>
      <c r="C21" s="72" t="s">
        <v>42</v>
      </c>
      <c r="D21" s="73"/>
      <c r="E21" s="74" t="s">
        <v>41</v>
      </c>
      <c r="F21" s="74"/>
      <c r="G21" s="44">
        <f>SUM(G20*1.05)-G20</f>
        <v>361898.30000000075</v>
      </c>
    </row>
    <row r="22" spans="1:7" s="10" customFormat="1" ht="29.25" customHeight="1" x14ac:dyDescent="0.45">
      <c r="A22" s="24" ph="1"/>
      <c r="B22" s="21" t="s" ph="1">
        <v>9</v>
      </c>
      <c r="C22" s="75" t="s">
        <v>39</v>
      </c>
      <c r="D22" s="75"/>
      <c r="E22" s="74" t="s">
        <v>26</v>
      </c>
      <c r="F22" s="74"/>
      <c r="G22" s="44">
        <f>SUM(G20:G21)</f>
        <v>7599864.3000000007</v>
      </c>
    </row>
    <row r="23" spans="1:7" s="10" customFormat="1" ht="26.25" customHeight="1" ph="1" x14ac:dyDescent="0.45">
      <c r="A23" s="48" ph="1"/>
      <c r="B23" s="49" ph="1"/>
      <c r="C23" s="50"/>
      <c r="D23" s="50"/>
      <c r="E23" s="51"/>
      <c r="F23" s="51"/>
      <c r="G23" s="51"/>
    </row>
    <row r="24" spans="1:7" s="10" customFormat="1" ht="31.5" customHeight="1" x14ac:dyDescent="0.55000000000000004">
      <c r="A24" s="3"/>
      <c r="B24" s="25" t="s">
        <v>4</v>
      </c>
      <c r="C24" s="64" t="s">
        <v>31</v>
      </c>
      <c r="D24" s="64"/>
      <c r="E24" s="64"/>
      <c r="F24" s="64"/>
      <c r="G24" s="64"/>
    </row>
    <row r="25" spans="1:7" s="10" customFormat="1" ht="31.5" customHeight="1" x14ac:dyDescent="0.6">
      <c r="A25" s="3"/>
      <c r="B25" s="4"/>
      <c r="C25" s="64" t="s">
        <v>51</v>
      </c>
      <c r="D25" s="64"/>
      <c r="E25" s="17"/>
      <c r="F25" s="17"/>
      <c r="G25" s="17"/>
    </row>
    <row r="26" spans="1:7" s="10" customFormat="1" ht="31.5" customHeight="1" x14ac:dyDescent="0.6">
      <c r="A26" s="3"/>
      <c r="B26" s="4"/>
      <c r="C26" s="80" ph="1"/>
      <c r="D26" s="80" ph="1"/>
      <c r="E26" s="80" ph="1"/>
      <c r="F26" s="80" ph="1"/>
      <c r="G26" s="80" ph="1"/>
    </row>
    <row r="27" spans="1:7" s="10" customFormat="1" ht="31.5" customHeight="1" x14ac:dyDescent="0.6">
      <c r="A27" s="3"/>
      <c r="B27" s="4"/>
      <c r="C27" s="80" ph="1"/>
      <c r="D27" s="80" ph="1"/>
      <c r="E27" s="22" ph="1"/>
      <c r="F27" s="22" ph="1"/>
      <c r="G27" s="22" ph="1"/>
    </row>
    <row r="28" spans="1:7" s="10" customFormat="1" ht="31.5" customHeight="1" ph="1" x14ac:dyDescent="0.6">
      <c r="A28" s="3" ph="1"/>
      <c r="B28" s="4" ph="1"/>
      <c r="C28" s="80" ph="1"/>
      <c r="D28" s="80" ph="1"/>
      <c r="E28" s="10"/>
      <c r="F28" s="10"/>
      <c r="G28" s="10"/>
    </row>
    <row r="29" spans="1:7" s="10" customFormat="1" ht="31.5" customHeight="1" x14ac:dyDescent="0.6">
      <c r="A29" s="3"/>
      <c r="B29" s="4"/>
      <c r="C29" s="80" ph="1"/>
      <c r="D29" s="80" ph="1"/>
      <c r="E29" s="80" ph="1"/>
      <c r="F29" s="80" ph="1"/>
      <c r="G29" s="80" ph="1"/>
    </row>
    <row r="30" spans="1:7" s="10" customFormat="1" ht="31.5" customHeight="1" ph="1" x14ac:dyDescent="0.6">
      <c r="A30" s="3"/>
      <c r="B30" s="4"/>
      <c r="C30" s="76" ph="1"/>
      <c r="D30" s="76" ph="1"/>
      <c r="E30" s="76" ph="1"/>
      <c r="F30" s="76" ph="1"/>
      <c r="G30" s="76" ph="1"/>
    </row>
    <row r="31" spans="1:7" s="10" customFormat="1" ht="31.5" customHeight="1" x14ac:dyDescent="0.6">
      <c r="A31" s="3"/>
      <c r="B31" s="4"/>
      <c r="C31" s="76" ph="1"/>
      <c r="D31" s="76" ph="1"/>
      <c r="E31" s="76" ph="1"/>
      <c r="F31" s="76" ph="1"/>
      <c r="G31" s="76" ph="1"/>
    </row>
    <row r="32" spans="1:7" s="2" customFormat="1" ht="27.75" customHeight="1" x14ac:dyDescent="0.6">
      <c r="A32" s="3"/>
      <c r="B32" s="4"/>
      <c r="C32" s="76" ph="1"/>
      <c r="D32" s="76" ph="1"/>
      <c r="E32" s="76" ph="1"/>
      <c r="F32" s="76" ph="1"/>
      <c r="G32" s="76" ph="1"/>
    </row>
    <row r="33" spans="1:7" s="2" customFormat="1" ht="33" customHeight="1" thickBot="1" x14ac:dyDescent="0.5">
      <c r="A33" s="12"/>
      <c r="B33" s="77" t="s">
        <v>8</v>
      </c>
      <c r="C33" s="77"/>
      <c r="D33" s="77"/>
      <c r="E33"/>
      <c r="F33"/>
      <c r="G33"/>
    </row>
    <row r="34" spans="1:7" s="2" customFormat="1" ht="33" customHeight="1" x14ac:dyDescent="0.45">
      <c r="B34" s="78" t="s">
        <v>5</v>
      </c>
      <c r="C34" s="78"/>
      <c r="D34" s="78"/>
      <c r="E34"/>
      <c r="F34"/>
      <c r="G34"/>
    </row>
    <row r="35" spans="1:7" s="2" customFormat="1" ht="47.25" customHeight="1" x14ac:dyDescent="0.6">
      <c r="B35" s="20"/>
      <c r="C35" s="14"/>
      <c r="D35" s="14"/>
      <c r="E35"/>
      <c r="F35"/>
      <c r="G35"/>
    </row>
    <row r="36" spans="1:7" s="2" customFormat="1" ht="45" customHeight="1" ph="1" x14ac:dyDescent="0.6">
      <c r="A36" s="2"/>
      <c r="B36" s="79"/>
      <c r="C36" s="79"/>
      <c r="D36" s="79"/>
      <c r="E36" s="79"/>
      <c r="F36" s="79"/>
      <c r="G36" s="79"/>
    </row>
    <row r="37" spans="1:7" s="2" customFormat="1" ht="29.5" x14ac:dyDescent="0.45">
      <c r="A37" s="2" ph="1"/>
      <c r="B37" s="2" ph="1"/>
      <c r="C37" s="2" ph="1"/>
      <c r="D37" s="2" ph="1"/>
      <c r="E37" s="2" ph="1"/>
      <c r="F37" s="2" ph="1"/>
      <c r="G37" s="2" ph="1"/>
    </row>
    <row r="38" spans="1:7" ht="19.5" x14ac:dyDescent="0.45">
      <c r="A38" s="2"/>
      <c r="B38" s="2"/>
      <c r="C38" s="2"/>
      <c r="D38" s="2"/>
      <c r="E38" s="2"/>
      <c r="F38" s="2"/>
      <c r="G38" s="2"/>
    </row>
    <row r="39" spans="1:7" x14ac:dyDescent="0.4">
      <c r="D39" s="5"/>
      <c r="E39" s="5"/>
    </row>
    <row r="40" spans="1:7" x14ac:dyDescent="0.4">
      <c r="D40" s="5"/>
      <c r="E40" s="5"/>
    </row>
    <row r="41" spans="1:7" x14ac:dyDescent="0.4">
      <c r="D41" s="5"/>
      <c r="E41" s="5"/>
    </row>
    <row r="42" spans="1:7" x14ac:dyDescent="0.4">
      <c r="D42" s="5"/>
      <c r="E42" s="5"/>
    </row>
    <row r="43" spans="1:7" x14ac:dyDescent="0.4">
      <c r="D43" s="5"/>
      <c r="E43" s="5"/>
    </row>
    <row r="44" spans="1:7" x14ac:dyDescent="0.4">
      <c r="D44" s="5"/>
      <c r="E44" s="5"/>
    </row>
    <row r="45" spans="1:7" x14ac:dyDescent="0.4">
      <c r="D45" s="5"/>
      <c r="E45" s="5"/>
    </row>
    <row r="46" spans="1:7" x14ac:dyDescent="0.4">
      <c r="D46" s="5"/>
      <c r="E46" s="5"/>
    </row>
    <row r="47" spans="1:7" x14ac:dyDescent="0.4">
      <c r="D47" s="5"/>
      <c r="E47" s="5"/>
    </row>
    <row r="48" spans="1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  <row r="448" s="5" customFormat="1" x14ac:dyDescent="0.4"/>
    <row r="449" s="5" customFormat="1" x14ac:dyDescent="0.4"/>
    <row r="450" s="5" customFormat="1" x14ac:dyDescent="0.4"/>
  </sheetData>
  <mergeCells count="28">
    <mergeCell ref="C32:G32"/>
    <mergeCell ref="B33:D33"/>
    <mergeCell ref="B34:D34"/>
    <mergeCell ref="B36:G36"/>
    <mergeCell ref="C26:G26"/>
    <mergeCell ref="C27:D27"/>
    <mergeCell ref="C28:D28"/>
    <mergeCell ref="C29:G29"/>
    <mergeCell ref="C30:G30"/>
    <mergeCell ref="C31:G31"/>
    <mergeCell ref="C25:D25"/>
    <mergeCell ref="F10:G10"/>
    <mergeCell ref="C11:D11"/>
    <mergeCell ref="C12:D12"/>
    <mergeCell ref="C15:D15"/>
    <mergeCell ref="C20:D20"/>
    <mergeCell ref="E20:F20"/>
    <mergeCell ref="C21:D21"/>
    <mergeCell ref="E21:F21"/>
    <mergeCell ref="C22:D22"/>
    <mergeCell ref="E22:F22"/>
    <mergeCell ref="C24:G24"/>
    <mergeCell ref="C7:D7"/>
    <mergeCell ref="F7:G7"/>
    <mergeCell ref="C8:D8"/>
    <mergeCell ref="F8:G8"/>
    <mergeCell ref="C9:D9"/>
    <mergeCell ref="F9:G9"/>
  </mergeCells>
  <phoneticPr fontId="3" type="noConversion"/>
  <hyperlinks>
    <hyperlink ref="C11" r:id="rId1" xr:uid="{8A795C8F-8D5D-4ECE-B6BE-4C3A92BBFD80}"/>
  </hyperlinks>
  <pageMargins left="0.7" right="0.7" top="0.75" bottom="0.75" header="0.3" footer="0.3"/>
  <pageSetup paperSize="9" scale="54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給友訊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2023-08-24T17:02:41Z</cp:lastPrinted>
  <dcterms:created xsi:type="dcterms:W3CDTF">1999-12-09T02:36:51Z</dcterms:created>
  <dcterms:modified xsi:type="dcterms:W3CDTF">2025-06-06T13:39:34Z</dcterms:modified>
</cp:coreProperties>
</file>